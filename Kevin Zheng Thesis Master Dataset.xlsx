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Dataset" sheetId="1" state="visible" r:id="rId3"/>
    <sheet name="Summary Statistics" sheetId="2" state="visible" r:id="rId4"/>
    <sheet name="Parity Model" sheetId="3" state="visible" r:id="rId5"/>
    <sheet name="NPV-IRR Model" sheetId="4" state="visible" r:id="rId6"/>
    <sheet name="Company Benchmarks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<sst xmlns="http://schemas.openxmlformats.org/spreadsheetml/2006/main" count="772" uniqueCount="477">
  <si>
    <t xml:space="preserve">Kevin Zheng MBA Thesis — Master Dataset</t>
  </si>
  <si>
    <t xml:space="preserve">Student: Kevin Zheng  2401213835  |  Guanghua School of Management  |  Advisor: Ying Guang Zhang  |  Deadline: March 31, 2026</t>
  </si>
  <si>
    <t xml:space="preserve">ID</t>
  </si>
  <si>
    <t xml:space="preserve">Category</t>
  </si>
  <si>
    <t xml:space="preserve">Pathway</t>
  </si>
  <si>
    <t xml:space="preserve">Region</t>
  </si>
  <si>
    <t xml:space="preserve">Source (APA)</t>
  </si>
  <si>
    <t xml:space="preserve">Year</t>
  </si>
  <si>
    <t xml:space="preserve">Cost (USD/t)</t>
  </si>
  <si>
    <t xml:space="preserve">Revenue/t</t>
  </si>
  <si>
    <t xml:space="preserve">EBITDA/t</t>
  </si>
  <si>
    <t xml:space="preserve">CAPEX ($M)</t>
  </si>
  <si>
    <t xml:space="preserve">Capacity (tpy)</t>
  </si>
  <si>
    <t xml:space="preserve">CAPEX/tpy</t>
  </si>
  <si>
    <t xml:space="preserve">Notes / DOI</t>
  </si>
  <si>
    <t xml:space="preserve">C01</t>
  </si>
  <si>
    <t xml:space="preserve">Cost Obs — Coal</t>
  </si>
  <si>
    <t xml:space="preserve">Coal Methanol</t>
  </si>
  <si>
    <t xml:space="preserve">China</t>
  </si>
  <si>
    <t xml:space="preserve">Xu et al. (2017)</t>
  </si>
  <si>
    <t xml:space="preserve">doi:10.1016/j.cattod.2017.05.070 — Shenhua Ningmei CTC baseline</t>
  </si>
  <si>
    <t xml:space="preserve">C02</t>
  </si>
  <si>
    <t xml:space="preserve">Khalafalla et al. (2020)</t>
  </si>
  <si>
    <t xml:space="preserve">doi:10.3390/en13236421</t>
  </si>
  <si>
    <t xml:space="preserve">C03</t>
  </si>
  <si>
    <t xml:space="preserve">Xiang et al. (2020)</t>
  </si>
  <si>
    <t xml:space="preserve">doi:10.1016/j.jclepro.2020.120910 — baseline no H2 integration — MEDIAN</t>
  </si>
  <si>
    <t xml:space="preserve">C04</t>
  </si>
  <si>
    <t xml:space="preserve">Lv et al. (2024)</t>
  </si>
  <si>
    <t xml:space="preserve">doi:10.1016/j.jclepro.2024.142839</t>
  </si>
  <si>
    <t xml:space="preserve">C05</t>
  </si>
  <si>
    <t xml:space="preserve">Gu et al. (2022)</t>
  </si>
  <si>
    <t xml:space="preserve">doi:10.1016/j.ijhydene.2021.11.148 — coal feedstock component only</t>
  </si>
  <si>
    <t xml:space="preserve">C06</t>
  </si>
  <si>
    <t xml:space="preserve">Tu (2024)</t>
  </si>
  <si>
    <t xml:space="preserve">OIES Paper CE13 — high-cost incl. environmental compliance</t>
  </si>
  <si>
    <t xml:space="preserve">C07</t>
  </si>
  <si>
    <t xml:space="preserve">Global</t>
  </si>
  <si>
    <t xml:space="preserve">Saudi Arabia low-cost design case</t>
  </si>
  <si>
    <t xml:space="preserve">C08</t>
  </si>
  <si>
    <t xml:space="preserve">Global benchmark</t>
  </si>
  <si>
    <t xml:space="preserve">G01</t>
  </si>
  <si>
    <t xml:space="preserve">Cost Obs — Gas</t>
  </si>
  <si>
    <t xml:space="preserve">Gas Methanol</t>
  </si>
  <si>
    <t xml:space="preserve">Methanex (2025) 2020</t>
  </si>
  <si>
    <t xml:space="preserve">Implied: Revenue/t − EBITDA/t = 246.7−32.2</t>
  </si>
  <si>
    <t xml:space="preserve">G02</t>
  </si>
  <si>
    <t xml:space="preserve">Methanex (2025) 2021</t>
  </si>
  <si>
    <t xml:space="preserve">Implied: 394.8−99.1</t>
  </si>
  <si>
    <t xml:space="preserve">G03</t>
  </si>
  <si>
    <t xml:space="preserve">Methanex (2025) 2022</t>
  </si>
  <si>
    <t xml:space="preserve">Implied: 400.1−86.5</t>
  </si>
  <si>
    <t xml:space="preserve">B01</t>
  </si>
  <si>
    <t xml:space="preserve">Cost Obs — Bio</t>
  </si>
  <si>
    <t xml:space="preserve">Bio-Methanol</t>
  </si>
  <si>
    <t xml:space="preserve">IRENA (2021)</t>
  </si>
  <si>
    <t xml:space="preserve">irena.org — lower bound wood/biomass route</t>
  </si>
  <si>
    <t xml:space="preserve">B02</t>
  </si>
  <si>
    <t xml:space="preserve">Mid-range estimate</t>
  </si>
  <si>
    <t xml:space="preserve">B03</t>
  </si>
  <si>
    <t xml:space="preserve">Wood gasification route</t>
  </si>
  <si>
    <t xml:space="preserve">B04</t>
  </si>
  <si>
    <t xml:space="preserve">Upper bound</t>
  </si>
  <si>
    <t xml:space="preserve">E01</t>
  </si>
  <si>
    <t xml:space="preserve">Cost Obs — Green</t>
  </si>
  <si>
    <t xml:space="preserve">Green Methanol</t>
  </si>
  <si>
    <t xml:space="preserve">Li et al. (2024a)</t>
  </si>
  <si>
    <t xml:space="preserve">doi:10.23919/IEN.2024.0013 — fossil CO2 pathway cheapest</t>
  </si>
  <si>
    <t xml:space="preserve">E02</t>
  </si>
  <si>
    <t xml:space="preserve">Zhou et al. (2024)</t>
  </si>
  <si>
    <t xml:space="preserve">doi:10.1021/acssusresmgt.3c00020 — indirect route + EG co-prod</t>
  </si>
  <si>
    <t xml:space="preserve">E03</t>
  </si>
  <si>
    <t xml:space="preserve">doi:10.1016/j.ijhydene.2021.11.148 — with O2 credit</t>
  </si>
  <si>
    <t xml:space="preserve">E04</t>
  </si>
  <si>
    <t xml:space="preserve">Fossil-capture CO2 pathway — Q1</t>
  </si>
  <si>
    <t xml:space="preserve">E05</t>
  </si>
  <si>
    <t xml:space="preserve">No O2 credit — CHINA MEDIAN</t>
  </si>
  <si>
    <t xml:space="preserve">E06</t>
  </si>
  <si>
    <t xml:space="preserve">Bazaluk et al. (2020)</t>
  </si>
  <si>
    <t xml:space="preserve">doi:10.3390/en13123113</t>
  </si>
  <si>
    <t xml:space="preserve">E07</t>
  </si>
  <si>
    <t xml:space="preserve">Biogenic carbon pathway</t>
  </si>
  <si>
    <t xml:space="preserve">E08</t>
  </si>
  <si>
    <t xml:space="preserve">Q3 — upper quartile China sample</t>
  </si>
  <si>
    <t xml:space="preserve">E09</t>
  </si>
  <si>
    <t xml:space="preserve">Li et al. (2021)</t>
  </si>
  <si>
    <t xml:space="preserve">doi:10.1016/j.isci.2021.102513</t>
  </si>
  <si>
    <t xml:space="preserve">E10</t>
  </si>
  <si>
    <t xml:space="preserve">Direct air capture — high-cost outlier</t>
  </si>
  <si>
    <t xml:space="preserve">E11</t>
  </si>
  <si>
    <t xml:space="preserve">Fasihi &amp; Breyer (2024)</t>
  </si>
  <si>
    <t xml:space="preserve">doi:10.1039/D3EE02951D — global best-site</t>
  </si>
  <si>
    <t xml:space="preserve">E12</t>
  </si>
  <si>
    <t xml:space="preserve">Global average</t>
  </si>
  <si>
    <t xml:space="preserve">E13</t>
  </si>
  <si>
    <t xml:space="preserve">Fasihi &amp; Breyer 2030 proj.</t>
  </si>
  <si>
    <t xml:space="preserve">Mean 2030 projection — NOT used in China parity baseline</t>
  </si>
  <si>
    <t xml:space="preserve">E14</t>
  </si>
  <si>
    <t xml:space="preserve">Fasihi &amp; Breyer 2040 proj.</t>
  </si>
  <si>
    <t xml:space="preserve">Mean 2040 projection</t>
  </si>
  <si>
    <t xml:space="preserve">E15</t>
  </si>
  <si>
    <t xml:space="preserve">Fasihi &amp; Breyer 2050 proj.</t>
  </si>
  <si>
    <t xml:space="preserve">Mean 2050 projection</t>
  </si>
  <si>
    <t xml:space="preserve">H01</t>
  </si>
  <si>
    <t xml:space="preserve">Cost Obs — Hybrid</t>
  </si>
  <si>
    <t xml:space="preserve">Coal+Green H2</t>
  </si>
  <si>
    <t xml:space="preserve">Coal gasif. + partial green H2 — N=2 pathway</t>
  </si>
  <si>
    <t xml:space="preserve">H02</t>
  </si>
  <si>
    <t xml:space="preserve">Coal + partial H2 integration</t>
  </si>
  <si>
    <t xml:space="preserve">M01</t>
  </si>
  <si>
    <t xml:space="preserve">Company Financial</t>
  </si>
  <si>
    <t xml:space="preserve">Methanex FY2020</t>
  </si>
  <si>
    <t xml:space="preserve">Form 40-F CIK 0000886977 | Utilization 75.1%</t>
  </si>
  <si>
    <t xml:space="preserve">M02</t>
  </si>
  <si>
    <t xml:space="preserve">Methanex FY2021</t>
  </si>
  <si>
    <t xml:space="preserve">Form 40-F | Utilization 73.9%</t>
  </si>
  <si>
    <t xml:space="preserve">M03</t>
  </si>
  <si>
    <t xml:space="preserve">Methanex FY2022</t>
  </si>
  <si>
    <t xml:space="preserve">Form 40-F | Utilization 69.4%</t>
  </si>
  <si>
    <t xml:space="preserve">M04</t>
  </si>
  <si>
    <t xml:space="preserve">Methanex FY2023</t>
  </si>
  <si>
    <t xml:space="preserve">Form 40-F | Capex $174M | Utilization 75.4%</t>
  </si>
  <si>
    <t xml:space="preserve">M05</t>
  </si>
  <si>
    <t xml:space="preserve">Methanex FY2024</t>
  </si>
  <si>
    <t xml:space="preserve">Form 40-F | Geismar 3 complete Oct 2024 | Util 59.9% (headline) ~75-80% operational</t>
  </si>
  <si>
    <t xml:space="preserve">M06</t>
  </si>
  <si>
    <t xml:space="preserve">Methanex Geismar 3</t>
  </si>
  <si>
    <t xml:space="preserve">Project capex $1.3B ÷ 1.8M tpy = $722/tpy</t>
  </si>
  <si>
    <t xml:space="preserve">CC1</t>
  </si>
  <si>
    <t xml:space="preserve">China Coal Energy FY2024</t>
  </si>
  <si>
    <t xml:space="preserve">HKEX 1898 coal-chem segment | en.chinacoalenergy.com</t>
  </si>
  <si>
    <t xml:space="preserve">CC2</t>
  </si>
  <si>
    <t xml:space="preserve">China Coal Energy FY2023</t>
  </si>
  <si>
    <t xml:space="preserve">HKEX 1898</t>
  </si>
  <si>
    <t xml:space="preserve">CS1</t>
  </si>
  <si>
    <t xml:space="preserve">China Shenhua FY2024</t>
  </si>
  <si>
    <t xml:space="preserve">HKEX 1088 | en.shenhuachina.com</t>
  </si>
  <si>
    <t xml:space="preserve">CS2</t>
  </si>
  <si>
    <t xml:space="preserve">China Shenhua FY2023</t>
  </si>
  <si>
    <t xml:space="preserve">HKEX 1088</t>
  </si>
  <si>
    <t xml:space="preserve">O01</t>
  </si>
  <si>
    <t xml:space="preserve">OCI FY2023</t>
  </si>
  <si>
    <t xml:space="preserve">Euronext OCI | investors.oci-global.com | maritime-linked offtake</t>
  </si>
  <si>
    <t xml:space="preserve">O02</t>
  </si>
  <si>
    <t xml:space="preserve">OCI FY2024</t>
  </si>
  <si>
    <t xml:space="preserve">Euronext OCI FY2024 annual report</t>
  </si>
  <si>
    <t xml:space="preserve">K01</t>
  </si>
  <si>
    <t xml:space="preserve">Denmark</t>
  </si>
  <si>
    <t xml:space="preserve">European Energy Kassø</t>
  </si>
  <si>
    <t xml:space="preserve">Low-case capex — NOT listed; capex benchmark only</t>
  </si>
  <si>
    <t xml:space="preserve">K02</t>
  </si>
  <si>
    <t xml:space="preserve">High-case capex</t>
  </si>
  <si>
    <t xml:space="preserve">S01</t>
  </si>
  <si>
    <t xml:space="preserve">Scenario Input</t>
  </si>
  <si>
    <t xml:space="preserve">ETS Price</t>
  </si>
  <si>
    <t xml:space="preserve">ICAP (2025)</t>
  </si>
  <si>
    <t xml:space="preserve">ETS peak Nov 2024: RMB 104.5/tCO2 = USD 14.4/tCO2 @ 7.25 RMB/USD</t>
  </si>
  <si>
    <t xml:space="preserve">S02</t>
  </si>
  <si>
    <t xml:space="preserve">IEA (2024b)</t>
  </si>
  <si>
    <t xml:space="preserve">Forecast low: 100 RMB/tCO2 ≈ USD 13.8; High: 200 RMB ≈ USD 27.6</t>
  </si>
  <si>
    <t xml:space="preserve">S03</t>
  </si>
  <si>
    <t xml:space="preserve">World Bank (2025)</t>
  </si>
  <si>
    <t xml:space="preserve">Paris-aligned: USD 50-100/tCO2 for emerging economies</t>
  </si>
  <si>
    <t xml:space="preserve">S04</t>
  </si>
  <si>
    <t xml:space="preserve">Electricity</t>
  </si>
  <si>
    <t xml:space="preserve">IEA (2024a)</t>
  </si>
  <si>
    <t xml:space="preserve">Current China renewable baseline: USD 36/MWh</t>
  </si>
  <si>
    <t xml:space="preserve">S05</t>
  </si>
  <si>
    <t xml:space="preserve">Li et al. (2024b)</t>
  </si>
  <si>
    <t xml:space="preserve">Inner Mongolia 2030 projection: USD 20-25/MWh</t>
  </si>
  <si>
    <t xml:space="preserve">S06</t>
  </si>
  <si>
    <t xml:space="preserve">Gansu province 2030: USD 15/MWh</t>
  </si>
  <si>
    <t xml:space="preserve">S07</t>
  </si>
  <si>
    <t xml:space="preserve">H2 Cost</t>
  </si>
  <si>
    <t xml:space="preserve">National green H2 current: USD 3.85/kg</t>
  </si>
  <si>
    <t xml:space="preserve">S08</t>
  </si>
  <si>
    <t xml:space="preserve">Inner Mongolia 2030: USD 2.24/kg</t>
  </si>
  <si>
    <t xml:space="preserve">S09</t>
  </si>
  <si>
    <t xml:space="preserve">Gansu 2030: USD 1.44/kg</t>
  </si>
  <si>
    <t xml:space="preserve">S10</t>
  </si>
  <si>
    <t xml:space="preserve">Electrolyzer</t>
  </si>
  <si>
    <t xml:space="preserve">Chinese alkaline installed: USD 600-1200/kW</t>
  </si>
  <si>
    <t xml:space="preserve">S11</t>
  </si>
  <si>
    <t xml:space="preserve">2030 projection: USD 200-400/kW</t>
  </si>
  <si>
    <t xml:space="preserve">S12</t>
  </si>
  <si>
    <t xml:space="preserve">Western alkaline: USD 2000-2600/kW</t>
  </si>
  <si>
    <t xml:space="preserve">T01</t>
  </si>
  <si>
    <t xml:space="preserve">Threshold/Ref</t>
  </si>
  <si>
    <t xml:space="preserve">Parity</t>
  </si>
  <si>
    <t xml:space="preserve">Model: electricity case</t>
  </si>
  <si>
    <t xml:space="preserve">EP $36/MWh → parity carbon = USD 133.8/tCO2</t>
  </si>
  <si>
    <t xml:space="preserve">T02</t>
  </si>
  <si>
    <t xml:space="preserve">EP $25/MWh → parity carbon = USD 84.5/tCO2</t>
  </si>
  <si>
    <t xml:space="preserve">T03</t>
  </si>
  <si>
    <t xml:space="preserve">EP $20/MWh → parity carbon = USD 62.1/tCO2</t>
  </si>
  <si>
    <t xml:space="preserve">T04</t>
  </si>
  <si>
    <t xml:space="preserve">EP $15/MWh → parity carbon = USD 39.7/tCO2</t>
  </si>
  <si>
    <t xml:space="preserve">T05</t>
  </si>
  <si>
    <t xml:space="preserve">Model: hydrogen case</t>
  </si>
  <si>
    <t xml:space="preserve">H2 $2.00/kg → parity carbon = USD 79.5/tCO2</t>
  </si>
  <si>
    <t xml:space="preserve">T06</t>
  </si>
  <si>
    <t xml:space="preserve">H2 $1.45/kg → parity carbon = USD 63.0/tCO2</t>
  </si>
  <si>
    <t xml:space="preserve">T07</t>
  </si>
  <si>
    <t xml:space="preserve">H2 $1.88/kg → parity carbon = USD 76.0/tCO2</t>
  </si>
  <si>
    <t xml:space="preserve">N01</t>
  </si>
  <si>
    <t xml:space="preserve">NPV Sc1</t>
  </si>
  <si>
    <t xml:space="preserve">Model</t>
  </si>
  <si>
    <t xml:space="preserve">Coal current: NPV +$13M | IRR ~12%</t>
  </si>
  <si>
    <t xml:space="preserve">N02</t>
  </si>
  <si>
    <t xml:space="preserve">NPV Sc2</t>
  </si>
  <si>
    <t xml:space="preserve">Coal $80 carbon: NPV -$230M</t>
  </si>
  <si>
    <t xml:space="preserve">N03</t>
  </si>
  <si>
    <t xml:space="preserve">NPV Sc3</t>
  </si>
  <si>
    <t xml:space="preserve">Green merchant: NPV -$593M</t>
  </si>
  <si>
    <t xml:space="preserve">N04</t>
  </si>
  <si>
    <t xml:space="preserve">NPV Sc4</t>
  </si>
  <si>
    <t xml:space="preserve">Green offtake $700: NPV -$90M | IRR ~4%</t>
  </si>
  <si>
    <t xml:space="preserve">N05</t>
  </si>
  <si>
    <t xml:space="preserve">NPV Sc5</t>
  </si>
  <si>
    <t xml:space="preserve">Green 2030: NPV +$7M | IRR ~10%</t>
  </si>
  <si>
    <t xml:space="preserve">Summary Statistics — Cost Distributions by Pathway</t>
  </si>
  <si>
    <t xml:space="preserve">TABLE 1. Global Summary Statistics by Methanol Pathway  (N=43 direct cost observations from 13 peer-reviewed TEA studies)</t>
  </si>
  <si>
    <t xml:space="preserve">N</t>
  </si>
  <si>
    <t xml:space="preserve">Mean (USD/t)</t>
  </si>
  <si>
    <t xml:space="preserve">Median (USD/t)</t>
  </si>
  <si>
    <t xml:space="preserve">Std Dev (USD/t)</t>
  </si>
  <si>
    <t xml:space="preserve">Min (USD/t)</t>
  </si>
  <si>
    <t xml:space="preserve">Max (USD/t)</t>
  </si>
  <si>
    <t xml:space="preserve">Q1 (USD/t)</t>
  </si>
  <si>
    <t xml:space="preserve">Q3 (USD/t)</t>
  </si>
  <si>
    <t xml:space="preserve">Coal + Green H2</t>
  </si>
  <si>
    <t xml:space="preserve">TABLE 2. China Subsample — Current Cost Comparison  (observations dated 2024 or earlier; projected 2030–2050 values excluded)</t>
  </si>
  <si>
    <t xml:space="preserve">China Coal Methanol</t>
  </si>
  <si>
    <t xml:space="preserve">China Green Methanol</t>
  </si>
  <si>
    <t xml:space="preserve">COST GAP  =  577.5 − 269.8  =  USD 307.7/t  (2.1× premium).  Current ETS ($14.4/tCO₂ × 2.3 tCO₂/t) adds only $33/t — closes 11% of the gap.</t>
  </si>
  <si>
    <t xml:space="preserve">China Coal N=6 Observations (ordered low to high — each source individually identified)</t>
  </si>
  <si>
    <t xml:space="preserve">Row ID</t>
  </si>
  <si>
    <t xml:space="preserve">Note</t>
  </si>
  <si>
    <t xml:space="preserve">Shenhua Ningmei CTC baseline</t>
  </si>
  <si>
    <t xml:space="preserve">Baseline without H2 — MEDIAN value</t>
  </si>
  <si>
    <t xml:space="preserve">Coal feedstock component only</t>
  </si>
  <si>
    <t xml:space="preserve">High-cost incl. environmental compliance</t>
  </si>
  <si>
    <t xml:space="preserve">Parity Model — Break-Even Carbon Price  (Electricity Case + Hydrogen Case)</t>
  </si>
  <si>
    <t xml:space="preserve">ASSUMPTIONS  (yellow = inputs; blue bold = formula-derived)</t>
  </si>
  <si>
    <t xml:space="preserve">Coal baseline (USD/t)</t>
  </si>
  <si>
    <t xml:space="preserve">← Median N=6 China coal observations</t>
  </si>
  <si>
    <t xml:space="preserve">Green baseline (USD/t)</t>
  </si>
  <si>
    <t xml:space="preserve">← Median N=10 China green observations</t>
  </si>
  <si>
    <t xml:space="preserve">CO2 intensity (tCO2/t MeOH)</t>
  </si>
  <si>
    <t xml:space="preserve">← Midpoint 2.0-2.6 from peer-reviewed TEA studies; plant-gate figure</t>
  </si>
  <si>
    <t xml:space="preserve">H2 stoich req (t H2/t MeOH)</t>
  </si>
  <si>
    <t xml:space="preserve">← 3 mol H2 per mol CH3OH; MW ratio = 3×2÷32 = 0.1875</t>
  </si>
  <si>
    <t xml:space="preserve">Electrolyzer (kWh/kg H2)</t>
  </si>
  <si>
    <t xml:space="preserve">← Conservative lower bound; full system = 12-14 MWh/t methanol</t>
  </si>
  <si>
    <t xml:space="preserve">Electricity sensitivity (MWh/t)</t>
  </si>
  <si>
    <t xml:space="preserve">← =0.1875 × 55 = 10.3 MWh/t (hydrogen step only — conservative)</t>
  </si>
  <si>
    <t xml:space="preserve">Baseline electricity (USD/MWh)</t>
  </si>
  <si>
    <t xml:space="preserve">← Current China renewable reference (IEA 2024a)</t>
  </si>
  <si>
    <t xml:space="preserve">Baseline H2 cost (USD/kg)</t>
  </si>
  <si>
    <t xml:space="preserve">← Current China green H2 national avg (IEA 2024a)</t>
  </si>
  <si>
    <t xml:space="preserve">H2 share of green cost</t>
  </si>
  <si>
    <t xml:space="preserve">← Midpoint 31-59% from Li et al. 2024a — NOT a symmetric average</t>
  </si>
  <si>
    <t xml:space="preserve">Current ETS (USD/tCO2)</t>
  </si>
  <si>
    <t xml:space="preserve">← China ETS peak Nov 2024: RMB 104.5 ÷ 7.25 = USD 14.4 (ICAP 2025)</t>
  </si>
  <si>
    <t xml:space="preserve">Cost gap (USD/t):</t>
  </si>
  <si>
    <t xml:space="preserve">577.5 minus 269.8 equals 307.7 USD/t</t>
  </si>
  <si>
    <t xml:space="preserve">FORMULA DERIVATION</t>
  </si>
  <si>
    <t xml:space="preserve">ELECTRICITY CASE:</t>
  </si>
  <si>
    <t xml:space="preserve">  Effective coal cost   = 269.8 + 2.3 × carbon_price</t>
  </si>
  <si>
    <t xml:space="preserve">  Scenario green cost   = 577.5 − 10.3 × (36 − electricity_price)</t>
  </si>
  <si>
    <t xml:space="preserve">  Parity:  carbon_price = (green_cost − 269.8) / 2.3</t>
  </si>
  <si>
    <t xml:space="preserve">HYDROGEN CASE:</t>
  </si>
  <si>
    <t xml:space="preserve">  Scenario green cost   = 577.5 − [0.45 × 577.5 × (1 − H2_price / 3.85)]</t>
  </si>
  <si>
    <t xml:space="preserve">KEY SENSITIVITY: USD 10/MWh electricity reduction → USD 103/t green cost reduction</t>
  </si>
  <si>
    <t xml:space="preserve">  (10.3 MWh/t × $10/MWh = $103/t)</t>
  </si>
  <si>
    <t xml:space="preserve">ETS CHECK: $14.4/tCO2 × 2.3 tCO2/t = $33.1/t added to coal methanol</t>
  </si>
  <si>
    <t xml:space="preserve">  → adds 11% toward closing the $307.7/t gap; commercially insufficient alone</t>
  </si>
  <si>
    <t xml:space="preserve">TABLE 4.  Break-Even Carbon Price — Electricity Case  (all values verified by formula)</t>
  </si>
  <si>
    <t xml:space="preserve">Electricity Price (USD/MWh)</t>
  </si>
  <si>
    <t xml:space="preserve">Green Cost at EP (USD/t)</t>
  </si>
  <si>
    <t xml:space="preserve">Coal Baseline (USD/t)</t>
  </si>
  <si>
    <t xml:space="preserve">Cost Gap at EP (USD/t)</t>
  </si>
  <si>
    <t xml:space="preserve">Parity Carbon Price (USD/tCO2)</t>
  </si>
  <si>
    <t xml:space="preserve">Derivation</t>
  </si>
  <si>
    <t xml:space="preserve">(577.5 - 10.3*(36-36) - 269.8) / 2.3 = 133.8</t>
  </si>
  <si>
    <t xml:space="preserve">(577.5 - 10.3*(36-33) - 269.8) / 2.3 = 120.3</t>
  </si>
  <si>
    <t xml:space="preserve">(577.5 - 10.3*(36-25) - 269.8) / 2.3 = 84.5</t>
  </si>
  <si>
    <t xml:space="preserve">(577.5 - 10.3*(36-20) - 269.8) / 2.3 = 62.1</t>
  </si>
  <si>
    <t xml:space="preserve">(577.5 - 10.3*(36-15) - 269.8) / 2.3 = 39.7</t>
  </si>
  <si>
    <t xml:space="preserve">TABLE 5.  Break-Even Carbon Price — Hydrogen Case</t>
  </si>
  <si>
    <t xml:space="preserve">H2 Price (USD/kg)</t>
  </si>
  <si>
    <t xml:space="preserve">Green Cost at H2 (USD/t)</t>
  </si>
  <si>
    <t xml:space="preserve">Cost Gap at H2 (USD/t)</t>
  </si>
  <si>
    <t xml:space="preserve">(577.5 - [0.45*577.5*(1-3.85/3.85)] - 269.8) / 2.3 = 133.8</t>
  </si>
  <si>
    <t xml:space="preserve">(577.5 - [0.45*577.5*(1-2.24/3.85)] - 269.8) / 2.3 = 86.5</t>
  </si>
  <si>
    <t xml:space="preserve">(577.5 - [0.45*577.5*(1-2.0/3.85)] - 269.8) / 2.3 = 79.5</t>
  </si>
  <si>
    <t xml:space="preserve">(577.5 - [0.45*577.5*(1-1.88/3.85)] - 269.8) / 2.3 = 76.0</t>
  </si>
  <si>
    <t xml:space="preserve">(577.5 - [0.45*577.5*(1-1.45/3.85)] - 269.8) / 2.3 = 63.0</t>
  </si>
  <si>
    <t xml:space="preserve">Stylized Project Valuation — 5 Scenarios  (200,000 tpy plant, 85% utilization, 20-year life, 25% tax)</t>
  </si>
  <si>
    <t xml:space="preserve">SHARED PLANT PARAMETERS</t>
  </si>
  <si>
    <t xml:space="preserve">Nameplate capacity (tpy)</t>
  </si>
  <si>
    <t xml:space="preserve">Utilization rate</t>
  </si>
  <si>
    <t xml:space="preserve">85%</t>
  </si>
  <si>
    <t xml:space="preserve">Annual production (t/yr)</t>
  </si>
  <si>
    <t xml:space="preserve">170,000 t/yr  (= 200,000 x 0.85)</t>
  </si>
  <si>
    <t xml:space="preserve">Project life (years)</t>
  </si>
  <si>
    <t xml:space="preserve">Tax rate</t>
  </si>
  <si>
    <t xml:space="preserve">China corporate tax rate</t>
  </si>
  <si>
    <t xml:space="preserve">Discount rate — coal</t>
  </si>
  <si>
    <t xml:space="preserve">SOE/established industrial financing convention</t>
  </si>
  <si>
    <t xml:space="preserve">Discount rate — green</t>
  </si>
  <si>
    <t xml:space="preserve">Higher technology risk; private capital</t>
  </si>
  <si>
    <t xml:space="preserve">PV annuity factor @ 8%</t>
  </si>
  <si>
    <t xml:space="preserve">PV annuity factor @ 10%</t>
  </si>
  <si>
    <t xml:space="preserve">TABLE 7.  NPV and IRR Under Five Scenarios  (all arithmetic shown below)</t>
  </si>
  <si>
    <t xml:space="preserve">Parameter</t>
  </si>
  <si>
    <t xml:space="preserve">Sc1: Coal Current</t>
  </si>
  <si>
    <t xml:space="preserve">Sc2: Coal $80 Carbon</t>
  </si>
  <si>
    <t xml:space="preserve">Sc3: Green Merchant</t>
  </si>
  <si>
    <t xml:space="preserve">Sc4: Green Offtake</t>
  </si>
  <si>
    <t xml:space="preserve">Sc5: Green 2030</t>
  </si>
  <si>
    <t xml:space="preserve">Coal</t>
  </si>
  <si>
    <t xml:space="preserve">CAPEX/tpy (USD/tpy)</t>
  </si>
  <si>
    <t xml:space="preserve">Production cost ($/t)</t>
  </si>
  <si>
    <t xml:space="preserve">Carbon cost ($/t)</t>
  </si>
  <si>
    <t xml:space="preserve">Revenue ($/t)</t>
  </si>
  <si>
    <t xml:space="preserve">EBITDA/t ($)</t>
  </si>
  <si>
    <t xml:space="preserve">Annual EBITDA ($M)</t>
  </si>
  <si>
    <t xml:space="preserve">Depreciation ($M/yr)</t>
  </si>
  <si>
    <t xml:space="preserve">Annual FCF ($M)</t>
  </si>
  <si>
    <t xml:space="preserve">Discount rate</t>
  </si>
  <si>
    <t xml:space="preserve">PV annuity factor</t>
  </si>
  <si>
    <t xml:space="preserve">NPV ($M)</t>
  </si>
  <si>
    <t xml:space="preserve">IRR (approx)</t>
  </si>
  <si>
    <t xml:space="preserve">~12%</t>
  </si>
  <si>
    <t xml:space="preserve">N/A</t>
  </si>
  <si>
    <t xml:space="preserve">~4%</t>
  </si>
  <si>
    <t xml:space="preserve">~10%</t>
  </si>
  <si>
    <t xml:space="preserve">Payback period (yrs)</t>
  </si>
  <si>
    <t xml:space="preserve">&gt;20</t>
  </si>
  <si>
    <t xml:space="preserve">FCF FORMULA DERIVATION (shown step by step)</t>
  </si>
  <si>
    <t xml:space="preserve">FCF formula:</t>
  </si>
  <si>
    <t xml:space="preserve">  If annual EBITDA ≥ 0:  FCF = (EBITDA − Depreciation) × (1 − 0.25) + Depreciation</t>
  </si>
  <si>
    <t xml:space="preserve">  If annual EBITDA &lt; 0:  FCF = EBITDA   [no tax benefit on losses; depreciation nets to zero]</t>
  </si>
  <si>
    <t xml:space="preserve">Sc1 Coal Current:  EBITDA/t = 340−270−32 = $38/t | Annual = 38×170,000 = $6.46M</t>
  </si>
  <si>
    <t xml:space="preserve">  Dep = 40/20 = $2.0M/yr | FCF = (6.46−2.0)×0.75+2.0 = 3.34+2.0 = $5.34M/yr</t>
  </si>
  <si>
    <t xml:space="preserve">  NPV = 5.34×9.818 − 40 = 52.4−40 = +$12.4M ≈ +$13M  |  IRR ≈ 11.9% → stated ~12%</t>
  </si>
  <si>
    <t xml:space="preserve">Sc2 Coal $80C:  EBITDA/t = 340−270−184 = −$114/t | Annual = −$19.4M/yr</t>
  </si>
  <si>
    <t xml:space="preserve">  FCF = EBITDA = −$19.4M/yr | NPV = −19.4×9.818−40 = −190.3−40 = −$230M ✓</t>
  </si>
  <si>
    <t xml:space="preserve">Sc3 Green Merchant:  EBITDA/t = 340−577 = −$237/t | Annual = −$40.3M/yr</t>
  </si>
  <si>
    <t xml:space="preserve">  FCF = −$40.3M/yr | NPV = −40.3×8.514−250 = −343.1−250 = −$593M ✓</t>
  </si>
  <si>
    <t xml:space="preserve">  NOTE: Earlier draft stated −$630M — this was WRONG. Correct = −$593M.</t>
  </si>
  <si>
    <t xml:space="preserve">Sc4 Green Offtake:  EBITDA/t = 700−577 = $123/t | Annual = $20.9M/yr</t>
  </si>
  <si>
    <t xml:space="preserve">  Dep = 250/20 = $12.5M/yr | FCF = (20.9−12.5)×0.75+12.5 = 6.3+12.5 = $18.8M/yr</t>
  </si>
  <si>
    <t xml:space="preserve">  NPV = 18.8×8.514−250 = 160.1−250 = −$89.9M ≈ −$90M  |  IRR ≈ 4.2% → stated ~4%</t>
  </si>
  <si>
    <t xml:space="preserve">Sc5 Green 2030:  EBITDA/t = 580−450 = $130/t | Annual = $22.1M/yr</t>
  </si>
  <si>
    <t xml:space="preserve">  Dep = 150/20 = $7.5M/yr | FCF = (22.1−7.5)×0.75+7.5 = 10.95+7.5 = $18.45M/yr</t>
  </si>
  <si>
    <t xml:space="preserve">  NPV = 18.45×8.514−150 = 157.1−150 = +$7M ✓  |  IRR ≈ 10.7% → stated ~10%</t>
  </si>
  <si>
    <t xml:space="preserve">IMPORTANT: Even Sc5 requires compliance premium. At commodity $340/t: EBITDA = 340−450 = −$110/t → loss.</t>
  </si>
  <si>
    <t xml:space="preserve">Full domestic commodity-market displacement requires production cost ≤ $340/t.</t>
  </si>
  <si>
    <t xml:space="preserve">Public Company Benchmark Data  (Table 6 from Thesis)</t>
  </si>
  <si>
    <t xml:space="preserve">METHANEX CORPORATION (NASDAQ: MEOH / TSX: MX)  |  Source: SEC Form 40-F, CIK 0000886977, FY2020–2024</t>
  </si>
  <si>
    <t xml:space="preserve">Selected as benchmark: world's largest pure-play methanol producer; clean revenue/t and EBITDA/t disclosure without segment-mixing</t>
  </si>
  <si>
    <t xml:space="preserve">Revenue/t (USD)</t>
  </si>
  <si>
    <t xml:space="preserve">EBITDA/t (USD)</t>
  </si>
  <si>
    <t xml:space="preserve">Implied Cost/t (USD)</t>
  </si>
  <si>
    <t xml:space="preserve">Annual Capex ($M)</t>
  </si>
  <si>
    <t xml:space="preserve">Utilization (%)</t>
  </si>
  <si>
    <t xml:space="preserve">Notes</t>
  </si>
  <si>
    <t xml:space="preserve">75.1</t>
  </si>
  <si>
    <t xml:space="preserve">Form 40-F FY2020 | Implied cost = Rev − EBITDA</t>
  </si>
  <si>
    <t xml:space="preserve">73.9</t>
  </si>
  <si>
    <t xml:space="preserve">Form 40-F FY2021</t>
  </si>
  <si>
    <t xml:space="preserve">69.4</t>
  </si>
  <si>
    <t xml:space="preserve">Form 40-F FY2022</t>
  </si>
  <si>
    <t xml:space="preserve">75.4</t>
  </si>
  <si>
    <t xml:space="preserve">Form 40-F FY2023 | Capex $174M | Capex intensity=174M÷10.61M tpy=$50.9/tpy (maintenance rate)</t>
  </si>
  <si>
    <t xml:space="preserve">59.9</t>
  </si>
  <si>
    <t xml:space="preserve">Form 40-F FY2024 | Geismar 3 complete Oct 2024 | Utilization depressed ~9 months unavail; operational util ~75-80%</t>
  </si>
  <si>
    <t xml:space="preserve">Geismar 3 project capex intensity:</t>
  </si>
  <si>
    <t xml:space="preserve">USD 722 per tpy. Geismar 3: $1.3B project cost divided by 1.8M tpy new capacity. This is a project construction cost, not annual maintenance capex.</t>
  </si>
  <si>
    <t xml:space="preserve">OCI GLOBAL (Euronext: OCI)  |  Source: Annual Reports 2023–2024  |  Selected: transitioning gas→green methanol; maritime offtake reference</t>
  </si>
  <si>
    <t xml:space="preserve">Euronext OCI FY2023 | Maritime-linked supply | Maersk offtake reference</t>
  </si>
  <si>
    <t xml:space="preserve">EUROPEAN ENERGY — KASSØ E-METHANOL (Denmark)  |  CAPEX BENCHMARK ONLY — not publicly listed; no revenue/EBITDA data</t>
  </si>
  <si>
    <t xml:space="preserve">Case</t>
  </si>
  <si>
    <t xml:space="preserve">Project Capex ($M)</t>
  </si>
  <si>
    <t xml:space="preserve">Capex Intensity (USD/tpy)</t>
  </si>
  <si>
    <t xml:space="preserve">Low case</t>
  </si>
  <si>
    <t xml:space="preserve">High case</t>
  </si>
  <si>
    <t xml:space="preserve">CHINA COAL ENERGY (HKEX: 1898) &amp; CHINA SHENHUA (HKEX: 1088)  |  Coal-chemical segment — not methanol-pure; used directionally</t>
  </si>
  <si>
    <t xml:space="preserve">Note: Both companies disclose coal-chemical segment data but not methanol-specific economics. Revenue/t and EBITDA/t cannot be isolated to methanol alone from public filings. Data retained in master dataset but excluded from condensed Table 6 in thesis.</t>
  </si>
  <si>
    <t xml:space="preserve">Complete Source List (APA Format) — 27 References</t>
  </si>
  <si>
    <t xml:space="preserve">Type</t>
  </si>
  <si>
    <t xml:space="preserve">APA Citation</t>
  </si>
  <si>
    <t xml:space="preserve">DOI / URL</t>
  </si>
  <si>
    <t xml:space="preserve">Used For</t>
  </si>
  <si>
    <t xml:space="preserve">Peer-reviewed</t>
  </si>
  <si>
    <t xml:space="preserve">Bazaluk et al. (2020). Energies, 13(12), 3113.</t>
  </si>
  <si>
    <t xml:space="preserve">Green methanol China production potential</t>
  </si>
  <si>
    <t xml:space="preserve">Fasihi, M., &amp; Breyer, C. (2024). Energy &amp; Environmental Science, 17, 3503–3522.</t>
  </si>
  <si>
    <t xml:space="preserve">doi:10.1039/D3EE02951D</t>
  </si>
  <si>
    <t xml:space="preserve">Global green methanol cost projections 2030-2050</t>
  </si>
  <si>
    <t xml:space="preserve">Gu, Y., et al. (2022). Int. J. Hydrogen Energy, 47(9), 4904–4919.</t>
  </si>
  <si>
    <t xml:space="preserve">doi:10.1016/j.ijhydene.2021.11.148</t>
  </si>
  <si>
    <t xml:space="preserve">China green methanol TEA; co-product treatment</t>
  </si>
  <si>
    <t xml:space="preserve">Khalafalla, S. S., et al. (2020). Energies, 13(23), 6421.</t>
  </si>
  <si>
    <t xml:space="preserve">Coal-to-methanol process design; carbon capture</t>
  </si>
  <si>
    <t xml:space="preserve">Li, P., et al. (2024a). iEnergy, 3, 340–353.</t>
  </si>
  <si>
    <t xml:space="preserve">doi:10.23919/IEN.2024.0013</t>
  </si>
  <si>
    <t xml:space="preserve">Green methanol pathways; H2 share 31-59%</t>
  </si>
  <si>
    <t xml:space="preserve">Li, X., et al. (2024b). Energy, 313, 133942.</t>
  </si>
  <si>
    <t xml:space="preserve">doi:10.1016/j.energy.2024.133942</t>
  </si>
  <si>
    <t xml:space="preserve">Wind H2 cost China by landform; Gansu/Inner Mongolia</t>
  </si>
  <si>
    <t xml:space="preserve">Li, Y., et al. (2021). iScience, 24(6), 102513.</t>
  </si>
  <si>
    <t xml:space="preserve">China carbon neutrality roadmap methanol/ammonia</t>
  </si>
  <si>
    <t xml:space="preserve">Luo, S., et al. (2023). Arabian J. Science &amp; Engineering, 48, 1487–1501.</t>
  </si>
  <si>
    <t xml:space="preserve">doi:10.1007/s13369-022-06902-6</t>
  </si>
  <si>
    <t xml:space="preserve">Methanol futures price forecasting</t>
  </si>
  <si>
    <t xml:space="preserve">Lv, L., et al. (2024). J. Cleaner Production, 466, 142839.</t>
  </si>
  <si>
    <t xml:space="preserve">Carbon tax impact coal propylene/methanol</t>
  </si>
  <si>
    <t xml:space="preserve">Xiang, D., et al. (2020). J. Cleaner Production, 258, 120910.</t>
  </si>
  <si>
    <t xml:space="preserve">doi:10.1016/j.jclepro.2020.120910</t>
  </si>
  <si>
    <t xml:space="preserve">Coal-to-methanol + chemical looping H2</t>
  </si>
  <si>
    <t xml:space="preserve">Xu, X., et al. (2017). Catalysis Today, 298, 61–68.</t>
  </si>
  <si>
    <t xml:space="preserve">doi:10.1016/j.cattod.2017.05.070</t>
  </si>
  <si>
    <t xml:space="preserve">Clean coal technologies China methanol platform</t>
  </si>
  <si>
    <t xml:space="preserve">Yang, J., et al. (2024). Energy Economics, 140, 108019.</t>
  </si>
  <si>
    <t xml:space="preserve">doi:10.1016/j.eneco.2024.108019</t>
  </si>
  <si>
    <t xml:space="preserve">Petrochemical chain commodity market integration</t>
  </si>
  <si>
    <t xml:space="preserve">Zhou, H., et al. (2024). ACS Sustainable Resource Management, 1, 374–384.</t>
  </si>
  <si>
    <t xml:space="preserve">doi:10.1021/acssusresmgt.3c00020</t>
  </si>
  <si>
    <t xml:space="preserve">CO2-to-methanol + EG co-production; H2 parity $1.88/kg</t>
  </si>
  <si>
    <t xml:space="preserve">Institutional</t>
  </si>
  <si>
    <t xml:space="preserve">IEA (2024a). Global Hydrogen Review 2024. IEA.</t>
  </si>
  <si>
    <t xml:space="preserve">iea.org/reports/global-hydrogen-review-2024</t>
  </si>
  <si>
    <t xml:space="preserve">H2 costs; electrolyzer trajectory; China advantage</t>
  </si>
  <si>
    <t xml:space="preserve">IEA (2024b). Enhancing China's ETS for Carbon Neutrality. IEA.</t>
  </si>
  <si>
    <t xml:space="preserve">iea.org/reports/enhancing-chinas-ets-for-carbon-neutrality</t>
  </si>
  <si>
    <t xml:space="preserve">China ETS expansion; carbon price forecasts</t>
  </si>
  <si>
    <t xml:space="preserve">ICAP (2025). China National ETS. ICAP.</t>
  </si>
  <si>
    <t xml:space="preserve">icapcarbonaction.com/en/ets/china-national-ets</t>
  </si>
  <si>
    <t xml:space="preserve">China ETS price history; peak RMB 104.5/tCO2</t>
  </si>
  <si>
    <t xml:space="preserve">IRENA (2021). Innovation Outlook: Renewable Methanol. IRENA.</t>
  </si>
  <si>
    <t xml:space="preserve">irena.org/publications/2021/Jan/Innovation-Outlook-Renewable-Methanol</t>
  </si>
  <si>
    <t xml:space="preserve">Global methanol cost landscape; bio/green pathways</t>
  </si>
  <si>
    <t xml:space="preserve">Tu, K. J. (2024). OIES Paper CE13. Oxford Institute for Energy Studies.</t>
  </si>
  <si>
    <t xml:space="preserve">oxfordenergy.org/wpcms/wp-content/uploads/2024/02/CE13</t>
  </si>
  <si>
    <t xml:space="preserve">Chinese coal chemical prospects; carbon constraint</t>
  </si>
  <si>
    <t xml:space="preserve">World Bank (2025). State and Trends of Carbon Pricing 2025. World Bank.</t>
  </si>
  <si>
    <t xml:space="preserve">worldbank.org/en/publication/state-and-trends-of-carbon-pricing</t>
  </si>
  <si>
    <t xml:space="preserve">Paris-aligned carbon price benchmarks</t>
  </si>
  <si>
    <t xml:space="preserve">Company</t>
  </si>
  <si>
    <t xml:space="preserve">Methanex Corporation (2025). Annual Report 2024. Form 40-F CIK 0000886977.</t>
  </si>
  <si>
    <t xml:space="preserve">methanex.com/investors/financial-reports/</t>
  </si>
  <si>
    <t xml:space="preserve">Revenue/t EBITDA/t capex utilization FY2020-2024</t>
  </si>
  <si>
    <t xml:space="preserve">OCI N.V. (2024). Annual Report 2023. OCI Global.</t>
  </si>
  <si>
    <t xml:space="preserve">investors.oci-global.com/sites/default/files/2024-04/OCI-Annual-Report-2023-vf_0.pdf</t>
  </si>
  <si>
    <t xml:space="preserve">Gas/green methanol segment; maritime offtake</t>
  </si>
  <si>
    <t xml:space="preserve">OCI N.V. (2025). Annual Report 2024. OCI Global.</t>
  </si>
  <si>
    <t xml:space="preserve">investors.oci-global.com/sites/default/files/2025-03/OCI-Annual-Report-2024_0.pdf</t>
  </si>
  <si>
    <t xml:space="preserve">Green methanol transition data</t>
  </si>
  <si>
    <t xml:space="preserve">China Coal Energy (2025). Annual Report 2024. HKEX 1898.</t>
  </si>
  <si>
    <t xml:space="preserve">en.chinacoalenergy.com</t>
  </si>
  <si>
    <t xml:space="preserve">Coal-chemical segment China benchmark</t>
  </si>
  <si>
    <t xml:space="preserve">China Shenhua Energy (2025). Annual Report 2024. HKEX 1088.</t>
  </si>
  <si>
    <t xml:space="preserve">en.shenhuachina.com</t>
  </si>
  <si>
    <t xml:space="preserve">Policy</t>
  </si>
  <si>
    <t xml:space="preserve">NDRC et al. (2023). Notice 773 on Modern Coal Chemical Industry.</t>
  </si>
  <si>
    <t xml:space="preserve">ndrc.gov.cn/xxgk/zcfb/tz/202307/t20230727_1358715.html</t>
  </si>
  <si>
    <t xml:space="preserve">Capacity controls; water limits; environmental Grade A</t>
  </si>
  <si>
    <t xml:space="preserve">MEE (2024). Progress Report: China National Carbon Market 2024.</t>
  </si>
  <si>
    <t xml:space="preserve">mee.gov.cn</t>
  </si>
  <si>
    <t xml:space="preserve">ETS price data; market progress</t>
  </si>
  <si>
    <t xml:space="preserve">Unpublished thesis</t>
  </si>
  <si>
    <t xml:space="preserve">Larsen, E. L., &amp; Brenøe, E. E. (2022). Valuation of Early-Stage Green Transition Projects. CBS.</t>
  </si>
  <si>
    <t xml:space="preserve">Copenhagen Business School — unpublished master's thesis</t>
  </si>
  <si>
    <t xml:space="preserve">DCF/NPV/IRR framework — cited for methodology only; not peer-reviewed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</si>
</sst>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"/>
    <numFmt numFmtId="166" formatCode="#,##0"/>
    <numFmt numFmtId="167" formatCode="#,##0.00"/>
    <numFmt numFmtId="168" formatCode="0.0%"/>
    <numFmt numFmtId="169" formatCode="General"/>
    <numFmt numFmtId="170" formatCode="0.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9"/>
      <color rgb="FFCC440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CC0000"/>
      <name val="Arial"/>
      <family val="0"/>
      <charset val="1"/>
    </font>
    <font>
      <i val="true"/>
      <sz val="8"/>
      <color rgb="FFCC0000"/>
      <name val="Arial"/>
      <family val="0"/>
      <charset val="1"/>
    </font>
    <font>
      <b val="true"/>
      <sz val="9"/>
      <color rgb="FF1F3864"/>
      <name val="Courier New"/>
      <family val="0"/>
      <charset val="1"/>
    </font>
    <font>
      <sz val="9"/>
      <color rgb="FF000000"/>
      <name val="Courier New"/>
      <family val="0"/>
      <charset val="1"/>
    </font>
    <font>
      <b val="true"/>
      <sz val="9"/>
      <color rgb="FF000000"/>
      <name val="Courier New"/>
      <family val="0"/>
      <charset val="1"/>
    </font>
    <font>
      <b val="true"/>
      <sz val="9"/>
      <color rgb="FF006600"/>
      <name val="Arial"/>
      <family val="0"/>
      <charset val="1"/>
    </font>
    <font>
      <sz val="8"/>
      <color rgb="FF000000"/>
      <name val="Courier New"/>
      <family val="0"/>
      <charset val="1"/>
    </font>
    <font>
      <b val="true"/>
      <sz val="8"/>
      <color rgb="FFCC0000"/>
      <name val="Courier New"/>
      <family val="0"/>
      <charset val="1"/>
    </font>
    <font>
      <i val="true"/>
      <sz val="9"/>
      <color rgb="FFCC4400"/>
      <name val="Arial"/>
      <family val="0"/>
      <charset val="1"/>
    </font>
    <font>
      <sz val="9"/>
      <color rgb="FF0000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F2F2F2"/>
        <bgColor rgb="FFEBF3FB"/>
      </patternFill>
    </fill>
    <fill>
      <patternFill patternType="solid">
        <fgColor rgb="FFEBF3FB"/>
        <bgColor rgb="FFF2F2F2"/>
      </patternFill>
    </fill>
    <fill>
      <patternFill patternType="solid">
        <fgColor rgb="FFFFF0E0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0E0FF"/>
        <bgColor rgb="FFF2F2F2"/>
      </patternFill>
    </fill>
    <fill>
      <patternFill patternType="solid">
        <fgColor rgb="FFDDEEFF"/>
        <bgColor rgb="FFEBF3FB"/>
      </patternFill>
    </fill>
    <fill>
      <patternFill patternType="solid">
        <fgColor rgb="FFFFF2CC"/>
        <bgColor rgb="FFFFF0E0"/>
      </patternFill>
    </fill>
    <fill>
      <patternFill patternType="solid">
        <fgColor rgb="FFFCE4D6"/>
        <bgColor rgb="FFFFF0E0"/>
      </patternFill>
    </fill>
    <fill>
      <patternFill patternType="solid">
        <fgColor rgb="FFD6E4F0"/>
        <bgColor rgb="FFDDEEFF"/>
      </patternFill>
    </fill>
    <fill>
      <patternFill patternType="solid">
        <fgColor rgb="FF4472C4"/>
        <bgColor rgb="FF2E75B6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1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1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DEEFF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E2EFDA"/>
      <rgbColor rgb="FFFFF0E0"/>
      <rgbColor rgb="FFF0E0FF"/>
      <rgbColor rgb="FFF2F2F2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CC44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32"/>
    <col collapsed="false" customWidth="true" hidden="false" outlineLevel="0" max="6" min="6" style="1" width="6"/>
    <col collapsed="false" customWidth="true" hidden="false" outlineLevel="0" max="7" min="7" style="1" width="12"/>
    <col collapsed="false" customWidth="true" hidden="false" outlineLevel="0" max="9" min="8" style="1" width="10"/>
    <col collapsed="false" customWidth="true" hidden="false" outlineLevel="0" max="10" min="10" style="1" width="9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50"/>
  </cols>
  <sheetData>
    <row r="1" customFormat="false" ht="24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2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30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customFormat="false" ht="13.5" hidden="false" customHeight="true" outlineLevel="0" collapsed="false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6" t="n">
        <v>2017</v>
      </c>
      <c r="G4" s="7" t="n">
        <v>253.8</v>
      </c>
      <c r="H4" s="6"/>
      <c r="I4" s="6"/>
      <c r="J4" s="6"/>
      <c r="K4" s="6"/>
      <c r="L4" s="6"/>
      <c r="M4" s="5" t="s">
        <v>20</v>
      </c>
    </row>
    <row r="5" customFormat="false" ht="13.5" hidden="false" customHeight="true" outlineLevel="0" collapsed="false">
      <c r="A5" s="5" t="s">
        <v>21</v>
      </c>
      <c r="B5" s="5" t="s">
        <v>16</v>
      </c>
      <c r="C5" s="5" t="s">
        <v>17</v>
      </c>
      <c r="D5" s="5" t="s">
        <v>18</v>
      </c>
      <c r="E5" s="5" t="s">
        <v>22</v>
      </c>
      <c r="F5" s="6" t="n">
        <v>2020</v>
      </c>
      <c r="G5" s="7" t="n">
        <v>261</v>
      </c>
      <c r="H5" s="6"/>
      <c r="I5" s="6"/>
      <c r="J5" s="6"/>
      <c r="K5" s="6"/>
      <c r="L5" s="6"/>
      <c r="M5" s="5" t="s">
        <v>23</v>
      </c>
    </row>
    <row r="6" customFormat="false" ht="13.5" hidden="false" customHeight="true" outlineLevel="0" collapsed="false">
      <c r="A6" s="5" t="s">
        <v>24</v>
      </c>
      <c r="B6" s="5" t="s">
        <v>16</v>
      </c>
      <c r="C6" s="5" t="s">
        <v>17</v>
      </c>
      <c r="D6" s="5" t="s">
        <v>18</v>
      </c>
      <c r="E6" s="5" t="s">
        <v>25</v>
      </c>
      <c r="F6" s="6" t="n">
        <v>2020</v>
      </c>
      <c r="G6" s="7" t="n">
        <v>269.8</v>
      </c>
      <c r="H6" s="6"/>
      <c r="I6" s="6"/>
      <c r="J6" s="6"/>
      <c r="K6" s="6"/>
      <c r="L6" s="6"/>
      <c r="M6" s="5" t="s">
        <v>26</v>
      </c>
    </row>
    <row r="7" customFormat="false" ht="13.5" hidden="false" customHeight="true" outlineLevel="0" collapsed="false">
      <c r="A7" s="5" t="s">
        <v>27</v>
      </c>
      <c r="B7" s="5" t="s">
        <v>16</v>
      </c>
      <c r="C7" s="5" t="s">
        <v>17</v>
      </c>
      <c r="D7" s="5" t="s">
        <v>18</v>
      </c>
      <c r="E7" s="5" t="s">
        <v>28</v>
      </c>
      <c r="F7" s="6" t="n">
        <v>2024</v>
      </c>
      <c r="G7" s="7" t="n">
        <v>277</v>
      </c>
      <c r="H7" s="6"/>
      <c r="I7" s="6"/>
      <c r="J7" s="6"/>
      <c r="K7" s="6"/>
      <c r="L7" s="6"/>
      <c r="M7" s="5" t="s">
        <v>29</v>
      </c>
    </row>
    <row r="8" customFormat="false" ht="13.5" hidden="false" customHeight="true" outlineLevel="0" collapsed="false">
      <c r="A8" s="5" t="s">
        <v>30</v>
      </c>
      <c r="B8" s="5" t="s">
        <v>16</v>
      </c>
      <c r="C8" s="5" t="s">
        <v>17</v>
      </c>
      <c r="D8" s="5" t="s">
        <v>18</v>
      </c>
      <c r="E8" s="5" t="s">
        <v>31</v>
      </c>
      <c r="F8" s="6" t="n">
        <v>2022</v>
      </c>
      <c r="G8" s="7" t="n">
        <v>285.6</v>
      </c>
      <c r="H8" s="6"/>
      <c r="I8" s="6"/>
      <c r="J8" s="6"/>
      <c r="K8" s="6"/>
      <c r="L8" s="6"/>
      <c r="M8" s="5" t="s">
        <v>32</v>
      </c>
    </row>
    <row r="9" customFormat="false" ht="13.5" hidden="false" customHeight="true" outlineLevel="0" collapsed="false">
      <c r="A9" s="5" t="s">
        <v>33</v>
      </c>
      <c r="B9" s="5" t="s">
        <v>16</v>
      </c>
      <c r="C9" s="5" t="s">
        <v>17</v>
      </c>
      <c r="D9" s="5" t="s">
        <v>18</v>
      </c>
      <c r="E9" s="5" t="s">
        <v>34</v>
      </c>
      <c r="F9" s="6" t="n">
        <v>2024</v>
      </c>
      <c r="G9" s="7" t="n">
        <v>322</v>
      </c>
      <c r="H9" s="6"/>
      <c r="I9" s="6"/>
      <c r="J9" s="6"/>
      <c r="K9" s="6"/>
      <c r="L9" s="6"/>
      <c r="M9" s="5" t="s">
        <v>35</v>
      </c>
    </row>
    <row r="10" customFormat="false" ht="13.5" hidden="false" customHeight="true" outlineLevel="0" collapsed="false">
      <c r="A10" s="5" t="s">
        <v>36</v>
      </c>
      <c r="B10" s="5" t="s">
        <v>16</v>
      </c>
      <c r="C10" s="5" t="s">
        <v>17</v>
      </c>
      <c r="D10" s="5" t="s">
        <v>37</v>
      </c>
      <c r="E10" s="5" t="s">
        <v>22</v>
      </c>
      <c r="F10" s="6" t="n">
        <v>2020</v>
      </c>
      <c r="G10" s="7" t="n">
        <v>142.5</v>
      </c>
      <c r="H10" s="6"/>
      <c r="I10" s="6"/>
      <c r="J10" s="6"/>
      <c r="K10" s="6"/>
      <c r="L10" s="6"/>
      <c r="M10" s="5" t="s">
        <v>38</v>
      </c>
    </row>
    <row r="11" customFormat="false" ht="13.5" hidden="false" customHeight="true" outlineLevel="0" collapsed="false">
      <c r="A11" s="5" t="s">
        <v>39</v>
      </c>
      <c r="B11" s="5" t="s">
        <v>16</v>
      </c>
      <c r="C11" s="5" t="s">
        <v>17</v>
      </c>
      <c r="D11" s="5" t="s">
        <v>37</v>
      </c>
      <c r="E11" s="5" t="s">
        <v>19</v>
      </c>
      <c r="F11" s="6" t="n">
        <v>2017</v>
      </c>
      <c r="G11" s="7" t="n">
        <v>253.8</v>
      </c>
      <c r="H11" s="6"/>
      <c r="I11" s="6"/>
      <c r="J11" s="6"/>
      <c r="K11" s="6"/>
      <c r="L11" s="6"/>
      <c r="M11" s="5" t="s">
        <v>40</v>
      </c>
    </row>
    <row r="12" customFormat="false" ht="13.5" hidden="false" customHeight="true" outlineLevel="0" collapsed="false">
      <c r="A12" s="8" t="s">
        <v>41</v>
      </c>
      <c r="B12" s="8" t="s">
        <v>42</v>
      </c>
      <c r="C12" s="8" t="s">
        <v>43</v>
      </c>
      <c r="D12" s="8" t="s">
        <v>37</v>
      </c>
      <c r="E12" s="8" t="s">
        <v>44</v>
      </c>
      <c r="F12" s="9" t="n">
        <v>2020</v>
      </c>
      <c r="G12" s="10" t="n">
        <v>214.5</v>
      </c>
      <c r="H12" s="9"/>
      <c r="I12" s="9"/>
      <c r="J12" s="9"/>
      <c r="K12" s="9"/>
      <c r="L12" s="9"/>
      <c r="M12" s="8" t="s">
        <v>45</v>
      </c>
    </row>
    <row r="13" customFormat="false" ht="13.5" hidden="false" customHeight="true" outlineLevel="0" collapsed="false">
      <c r="A13" s="8" t="s">
        <v>46</v>
      </c>
      <c r="B13" s="8" t="s">
        <v>42</v>
      </c>
      <c r="C13" s="8" t="s">
        <v>43</v>
      </c>
      <c r="D13" s="8" t="s">
        <v>37</v>
      </c>
      <c r="E13" s="8" t="s">
        <v>47</v>
      </c>
      <c r="F13" s="9" t="n">
        <v>2021</v>
      </c>
      <c r="G13" s="10" t="n">
        <v>295.7</v>
      </c>
      <c r="H13" s="9"/>
      <c r="I13" s="9"/>
      <c r="J13" s="9"/>
      <c r="K13" s="9"/>
      <c r="L13" s="9"/>
      <c r="M13" s="8" t="s">
        <v>48</v>
      </c>
    </row>
    <row r="14" customFormat="false" ht="13.5" hidden="false" customHeight="true" outlineLevel="0" collapsed="false">
      <c r="A14" s="8" t="s">
        <v>49</v>
      </c>
      <c r="B14" s="8" t="s">
        <v>42</v>
      </c>
      <c r="C14" s="8" t="s">
        <v>43</v>
      </c>
      <c r="D14" s="8" t="s">
        <v>37</v>
      </c>
      <c r="E14" s="8" t="s">
        <v>50</v>
      </c>
      <c r="F14" s="9" t="n">
        <v>2022</v>
      </c>
      <c r="G14" s="10" t="n">
        <v>313.6</v>
      </c>
      <c r="H14" s="9"/>
      <c r="I14" s="9"/>
      <c r="J14" s="9"/>
      <c r="K14" s="9"/>
      <c r="L14" s="9"/>
      <c r="M14" s="8" t="s">
        <v>51</v>
      </c>
    </row>
    <row r="15" customFormat="false" ht="13.5" hidden="false" customHeight="true" outlineLevel="0" collapsed="false">
      <c r="A15" s="11" t="s">
        <v>52</v>
      </c>
      <c r="B15" s="11" t="s">
        <v>53</v>
      </c>
      <c r="C15" s="11" t="s">
        <v>54</v>
      </c>
      <c r="D15" s="11" t="s">
        <v>37</v>
      </c>
      <c r="E15" s="11" t="s">
        <v>55</v>
      </c>
      <c r="F15" s="12" t="n">
        <v>2021</v>
      </c>
      <c r="G15" s="13" t="n">
        <v>320</v>
      </c>
      <c r="H15" s="12"/>
      <c r="I15" s="12"/>
      <c r="J15" s="12"/>
      <c r="K15" s="12"/>
      <c r="L15" s="12"/>
      <c r="M15" s="11" t="s">
        <v>56</v>
      </c>
    </row>
    <row r="16" customFormat="false" ht="13.5" hidden="false" customHeight="true" outlineLevel="0" collapsed="false">
      <c r="A16" s="11" t="s">
        <v>57</v>
      </c>
      <c r="B16" s="11" t="s">
        <v>53</v>
      </c>
      <c r="C16" s="11" t="s">
        <v>54</v>
      </c>
      <c r="D16" s="11" t="s">
        <v>37</v>
      </c>
      <c r="E16" s="11" t="s">
        <v>55</v>
      </c>
      <c r="F16" s="12" t="n">
        <v>2021</v>
      </c>
      <c r="G16" s="13" t="n">
        <v>570</v>
      </c>
      <c r="H16" s="12"/>
      <c r="I16" s="12"/>
      <c r="J16" s="12"/>
      <c r="K16" s="12"/>
      <c r="L16" s="12"/>
      <c r="M16" s="11" t="s">
        <v>58</v>
      </c>
    </row>
    <row r="17" customFormat="false" ht="13.5" hidden="false" customHeight="true" outlineLevel="0" collapsed="false">
      <c r="A17" s="11" t="s">
        <v>59</v>
      </c>
      <c r="B17" s="11" t="s">
        <v>53</v>
      </c>
      <c r="C17" s="11" t="s">
        <v>54</v>
      </c>
      <c r="D17" s="11" t="s">
        <v>37</v>
      </c>
      <c r="E17" s="11" t="s">
        <v>55</v>
      </c>
      <c r="F17" s="12" t="n">
        <v>2021</v>
      </c>
      <c r="G17" s="13" t="n">
        <v>620</v>
      </c>
      <c r="H17" s="12"/>
      <c r="I17" s="12"/>
      <c r="J17" s="12"/>
      <c r="K17" s="12"/>
      <c r="L17" s="12"/>
      <c r="M17" s="11" t="s">
        <v>60</v>
      </c>
    </row>
    <row r="18" customFormat="false" ht="13.5" hidden="false" customHeight="true" outlineLevel="0" collapsed="false">
      <c r="A18" s="11" t="s">
        <v>61</v>
      </c>
      <c r="B18" s="11" t="s">
        <v>53</v>
      </c>
      <c r="C18" s="11" t="s">
        <v>54</v>
      </c>
      <c r="D18" s="11" t="s">
        <v>37</v>
      </c>
      <c r="E18" s="11" t="s">
        <v>55</v>
      </c>
      <c r="F18" s="12" t="n">
        <v>2021</v>
      </c>
      <c r="G18" s="13" t="n">
        <v>770</v>
      </c>
      <c r="H18" s="12"/>
      <c r="I18" s="12"/>
      <c r="J18" s="12"/>
      <c r="K18" s="12"/>
      <c r="L18" s="12"/>
      <c r="M18" s="11" t="s">
        <v>62</v>
      </c>
    </row>
    <row r="19" customFormat="false" ht="13.5" hidden="false" customHeight="true" outlineLevel="0" collapsed="false">
      <c r="A19" s="14" t="s">
        <v>63</v>
      </c>
      <c r="B19" s="14" t="s">
        <v>64</v>
      </c>
      <c r="C19" s="14" t="s">
        <v>65</v>
      </c>
      <c r="D19" s="14" t="s">
        <v>18</v>
      </c>
      <c r="E19" s="14" t="s">
        <v>66</v>
      </c>
      <c r="F19" s="15" t="n">
        <v>2024</v>
      </c>
      <c r="G19" s="16" t="n">
        <v>355</v>
      </c>
      <c r="H19" s="15"/>
      <c r="I19" s="15"/>
      <c r="J19" s="15"/>
      <c r="K19" s="15"/>
      <c r="L19" s="15"/>
      <c r="M19" s="14" t="s">
        <v>67</v>
      </c>
    </row>
    <row r="20" customFormat="false" ht="13.5" hidden="false" customHeight="true" outlineLevel="0" collapsed="false">
      <c r="A20" s="14" t="s">
        <v>68</v>
      </c>
      <c r="B20" s="14" t="s">
        <v>64</v>
      </c>
      <c r="C20" s="14" t="s">
        <v>65</v>
      </c>
      <c r="D20" s="14" t="s">
        <v>18</v>
      </c>
      <c r="E20" s="14" t="s">
        <v>69</v>
      </c>
      <c r="F20" s="15" t="n">
        <v>2024</v>
      </c>
      <c r="G20" s="16" t="n">
        <v>400</v>
      </c>
      <c r="H20" s="15"/>
      <c r="I20" s="15"/>
      <c r="J20" s="15"/>
      <c r="K20" s="15"/>
      <c r="L20" s="15"/>
      <c r="M20" s="14" t="s">
        <v>70</v>
      </c>
    </row>
    <row r="21" customFormat="false" ht="13.5" hidden="false" customHeight="true" outlineLevel="0" collapsed="false">
      <c r="A21" s="14" t="s">
        <v>71</v>
      </c>
      <c r="B21" s="14" t="s">
        <v>64</v>
      </c>
      <c r="C21" s="14" t="s">
        <v>65</v>
      </c>
      <c r="D21" s="14" t="s">
        <v>18</v>
      </c>
      <c r="E21" s="14" t="s">
        <v>31</v>
      </c>
      <c r="F21" s="15" t="n">
        <v>2022</v>
      </c>
      <c r="G21" s="16" t="n">
        <v>468</v>
      </c>
      <c r="H21" s="15"/>
      <c r="I21" s="15"/>
      <c r="J21" s="15"/>
      <c r="K21" s="15"/>
      <c r="L21" s="15"/>
      <c r="M21" s="14" t="s">
        <v>72</v>
      </c>
    </row>
    <row r="22" customFormat="false" ht="13.5" hidden="false" customHeight="true" outlineLevel="0" collapsed="false">
      <c r="A22" s="14" t="s">
        <v>73</v>
      </c>
      <c r="B22" s="14" t="s">
        <v>64</v>
      </c>
      <c r="C22" s="14" t="s">
        <v>65</v>
      </c>
      <c r="D22" s="14" t="s">
        <v>18</v>
      </c>
      <c r="E22" s="14" t="s">
        <v>66</v>
      </c>
      <c r="F22" s="15" t="n">
        <v>2024</v>
      </c>
      <c r="G22" s="16" t="n">
        <v>504.2</v>
      </c>
      <c r="H22" s="15"/>
      <c r="I22" s="15"/>
      <c r="J22" s="15"/>
      <c r="K22" s="15"/>
      <c r="L22" s="15"/>
      <c r="M22" s="14" t="s">
        <v>74</v>
      </c>
    </row>
    <row r="23" customFormat="false" ht="13.5" hidden="false" customHeight="true" outlineLevel="0" collapsed="false">
      <c r="A23" s="14" t="s">
        <v>75</v>
      </c>
      <c r="B23" s="14" t="s">
        <v>64</v>
      </c>
      <c r="C23" s="14" t="s">
        <v>65</v>
      </c>
      <c r="D23" s="14" t="s">
        <v>18</v>
      </c>
      <c r="E23" s="14" t="s">
        <v>31</v>
      </c>
      <c r="F23" s="15" t="n">
        <v>2022</v>
      </c>
      <c r="G23" s="16" t="n">
        <v>577.5</v>
      </c>
      <c r="H23" s="15"/>
      <c r="I23" s="15"/>
      <c r="J23" s="15"/>
      <c r="K23" s="15"/>
      <c r="L23" s="15"/>
      <c r="M23" s="14" t="s">
        <v>76</v>
      </c>
    </row>
    <row r="24" customFormat="false" ht="13.5" hidden="false" customHeight="true" outlineLevel="0" collapsed="false">
      <c r="A24" s="14" t="s">
        <v>77</v>
      </c>
      <c r="B24" s="14" t="s">
        <v>64</v>
      </c>
      <c r="C24" s="14" t="s">
        <v>65</v>
      </c>
      <c r="D24" s="14" t="s">
        <v>18</v>
      </c>
      <c r="E24" s="14" t="s">
        <v>78</v>
      </c>
      <c r="F24" s="15" t="n">
        <v>2020</v>
      </c>
      <c r="G24" s="16" t="n">
        <v>620</v>
      </c>
      <c r="H24" s="15"/>
      <c r="I24" s="15"/>
      <c r="J24" s="15"/>
      <c r="K24" s="15"/>
      <c r="L24" s="15"/>
      <c r="M24" s="14" t="s">
        <v>79</v>
      </c>
    </row>
    <row r="25" customFormat="false" ht="13.5" hidden="false" customHeight="true" outlineLevel="0" collapsed="false">
      <c r="A25" s="14" t="s">
        <v>80</v>
      </c>
      <c r="B25" s="14" t="s">
        <v>64</v>
      </c>
      <c r="C25" s="14" t="s">
        <v>65</v>
      </c>
      <c r="D25" s="14" t="s">
        <v>18</v>
      </c>
      <c r="E25" s="14" t="s">
        <v>66</v>
      </c>
      <c r="F25" s="15" t="n">
        <v>2024</v>
      </c>
      <c r="G25" s="16" t="n">
        <v>680</v>
      </c>
      <c r="H25" s="15"/>
      <c r="I25" s="15"/>
      <c r="J25" s="15"/>
      <c r="K25" s="15"/>
      <c r="L25" s="15"/>
      <c r="M25" s="14" t="s">
        <v>81</v>
      </c>
    </row>
    <row r="26" customFormat="false" ht="13.5" hidden="false" customHeight="true" outlineLevel="0" collapsed="false">
      <c r="A26" s="14" t="s">
        <v>82</v>
      </c>
      <c r="B26" s="14" t="s">
        <v>64</v>
      </c>
      <c r="C26" s="14" t="s">
        <v>65</v>
      </c>
      <c r="D26" s="14" t="s">
        <v>18</v>
      </c>
      <c r="E26" s="14" t="s">
        <v>66</v>
      </c>
      <c r="F26" s="15" t="n">
        <v>2024</v>
      </c>
      <c r="G26" s="16" t="n">
        <v>713.5</v>
      </c>
      <c r="H26" s="15"/>
      <c r="I26" s="15"/>
      <c r="J26" s="15"/>
      <c r="K26" s="15"/>
      <c r="L26" s="15"/>
      <c r="M26" s="14" t="s">
        <v>83</v>
      </c>
    </row>
    <row r="27" customFormat="false" ht="13.5" hidden="false" customHeight="true" outlineLevel="0" collapsed="false">
      <c r="A27" s="14" t="s">
        <v>84</v>
      </c>
      <c r="B27" s="14" t="s">
        <v>64</v>
      </c>
      <c r="C27" s="14" t="s">
        <v>65</v>
      </c>
      <c r="D27" s="14" t="s">
        <v>18</v>
      </c>
      <c r="E27" s="14" t="s">
        <v>85</v>
      </c>
      <c r="F27" s="15" t="n">
        <v>2021</v>
      </c>
      <c r="G27" s="16" t="n">
        <v>964</v>
      </c>
      <c r="H27" s="15"/>
      <c r="I27" s="15"/>
      <c r="J27" s="15"/>
      <c r="K27" s="15"/>
      <c r="L27" s="15"/>
      <c r="M27" s="14" t="s">
        <v>86</v>
      </c>
    </row>
    <row r="28" customFormat="false" ht="13.5" hidden="false" customHeight="true" outlineLevel="0" collapsed="false">
      <c r="A28" s="14" t="s">
        <v>87</v>
      </c>
      <c r="B28" s="14" t="s">
        <v>64</v>
      </c>
      <c r="C28" s="14" t="s">
        <v>65</v>
      </c>
      <c r="D28" s="14" t="s">
        <v>18</v>
      </c>
      <c r="E28" s="14" t="s">
        <v>66</v>
      </c>
      <c r="F28" s="15" t="n">
        <v>2024</v>
      </c>
      <c r="G28" s="16" t="n">
        <v>1415</v>
      </c>
      <c r="H28" s="15"/>
      <c r="I28" s="15"/>
      <c r="J28" s="15"/>
      <c r="K28" s="15"/>
      <c r="L28" s="15"/>
      <c r="M28" s="14" t="s">
        <v>88</v>
      </c>
    </row>
    <row r="29" customFormat="false" ht="13.5" hidden="false" customHeight="true" outlineLevel="0" collapsed="false">
      <c r="A29" s="14" t="s">
        <v>89</v>
      </c>
      <c r="B29" s="14" t="s">
        <v>64</v>
      </c>
      <c r="C29" s="14" t="s">
        <v>65</v>
      </c>
      <c r="D29" s="14" t="s">
        <v>37</v>
      </c>
      <c r="E29" s="14" t="s">
        <v>90</v>
      </c>
      <c r="F29" s="15" t="n">
        <v>2024</v>
      </c>
      <c r="G29" s="16" t="n">
        <v>340</v>
      </c>
      <c r="H29" s="15"/>
      <c r="I29" s="15"/>
      <c r="J29" s="15"/>
      <c r="K29" s="15"/>
      <c r="L29" s="15"/>
      <c r="M29" s="14" t="s">
        <v>91</v>
      </c>
    </row>
    <row r="30" customFormat="false" ht="13.5" hidden="false" customHeight="true" outlineLevel="0" collapsed="false">
      <c r="A30" s="14" t="s">
        <v>92</v>
      </c>
      <c r="B30" s="14" t="s">
        <v>64</v>
      </c>
      <c r="C30" s="14" t="s">
        <v>65</v>
      </c>
      <c r="D30" s="14" t="s">
        <v>37</v>
      </c>
      <c r="E30" s="14" t="s">
        <v>55</v>
      </c>
      <c r="F30" s="15" t="n">
        <v>2021</v>
      </c>
      <c r="G30" s="16" t="n">
        <v>800</v>
      </c>
      <c r="H30" s="15"/>
      <c r="I30" s="15"/>
      <c r="J30" s="15"/>
      <c r="K30" s="15"/>
      <c r="L30" s="15"/>
      <c r="M30" s="14" t="s">
        <v>93</v>
      </c>
    </row>
    <row r="31" customFormat="false" ht="13.5" hidden="false" customHeight="true" outlineLevel="0" collapsed="false">
      <c r="A31" s="14" t="s">
        <v>94</v>
      </c>
      <c r="B31" s="14" t="s">
        <v>64</v>
      </c>
      <c r="C31" s="14" t="s">
        <v>65</v>
      </c>
      <c r="D31" s="14" t="s">
        <v>37</v>
      </c>
      <c r="E31" s="14" t="s">
        <v>95</v>
      </c>
      <c r="F31" s="15" t="n">
        <v>2030</v>
      </c>
      <c r="G31" s="16" t="n">
        <v>616.8</v>
      </c>
      <c r="H31" s="15"/>
      <c r="I31" s="15"/>
      <c r="J31" s="15"/>
      <c r="K31" s="15"/>
      <c r="L31" s="15"/>
      <c r="M31" s="14" t="s">
        <v>96</v>
      </c>
    </row>
    <row r="32" customFormat="false" ht="13.5" hidden="false" customHeight="true" outlineLevel="0" collapsed="false">
      <c r="A32" s="14" t="s">
        <v>97</v>
      </c>
      <c r="B32" s="14" t="s">
        <v>64</v>
      </c>
      <c r="C32" s="14" t="s">
        <v>65</v>
      </c>
      <c r="D32" s="14" t="s">
        <v>37</v>
      </c>
      <c r="E32" s="14" t="s">
        <v>98</v>
      </c>
      <c r="F32" s="15" t="n">
        <v>2040</v>
      </c>
      <c r="G32" s="16" t="n">
        <v>442.5</v>
      </c>
      <c r="H32" s="15"/>
      <c r="I32" s="15"/>
      <c r="J32" s="15"/>
      <c r="K32" s="15"/>
      <c r="L32" s="15"/>
      <c r="M32" s="14" t="s">
        <v>99</v>
      </c>
    </row>
    <row r="33" customFormat="false" ht="13.5" hidden="false" customHeight="true" outlineLevel="0" collapsed="false">
      <c r="A33" s="14" t="s">
        <v>100</v>
      </c>
      <c r="B33" s="14" t="s">
        <v>64</v>
      </c>
      <c r="C33" s="14" t="s">
        <v>65</v>
      </c>
      <c r="D33" s="14" t="s">
        <v>37</v>
      </c>
      <c r="E33" s="14" t="s">
        <v>101</v>
      </c>
      <c r="F33" s="15" t="n">
        <v>2050</v>
      </c>
      <c r="G33" s="16" t="n">
        <v>359</v>
      </c>
      <c r="H33" s="15"/>
      <c r="I33" s="15"/>
      <c r="J33" s="15"/>
      <c r="K33" s="15"/>
      <c r="L33" s="15"/>
      <c r="M33" s="14" t="s">
        <v>102</v>
      </c>
    </row>
    <row r="34" customFormat="false" ht="13.5" hidden="false" customHeight="true" outlineLevel="0" collapsed="false">
      <c r="A34" s="17" t="s">
        <v>103</v>
      </c>
      <c r="B34" s="17" t="s">
        <v>104</v>
      </c>
      <c r="C34" s="17" t="s">
        <v>105</v>
      </c>
      <c r="D34" s="17" t="s">
        <v>37</v>
      </c>
      <c r="E34" s="17" t="s">
        <v>25</v>
      </c>
      <c r="F34" s="18" t="n">
        <v>2020</v>
      </c>
      <c r="G34" s="19" t="n">
        <v>315.5</v>
      </c>
      <c r="H34" s="18"/>
      <c r="I34" s="18"/>
      <c r="J34" s="18"/>
      <c r="K34" s="18"/>
      <c r="L34" s="18"/>
      <c r="M34" s="17" t="s">
        <v>106</v>
      </c>
    </row>
    <row r="35" customFormat="false" ht="13.5" hidden="false" customHeight="true" outlineLevel="0" collapsed="false">
      <c r="A35" s="17" t="s">
        <v>107</v>
      </c>
      <c r="B35" s="17" t="s">
        <v>104</v>
      </c>
      <c r="C35" s="17" t="s">
        <v>105</v>
      </c>
      <c r="D35" s="17" t="s">
        <v>37</v>
      </c>
      <c r="E35" s="17" t="s">
        <v>22</v>
      </c>
      <c r="F35" s="18" t="n">
        <v>2020</v>
      </c>
      <c r="G35" s="19" t="n">
        <v>366</v>
      </c>
      <c r="H35" s="18"/>
      <c r="I35" s="18"/>
      <c r="J35" s="18"/>
      <c r="K35" s="18"/>
      <c r="L35" s="18"/>
      <c r="M35" s="17" t="s">
        <v>108</v>
      </c>
    </row>
    <row r="36" customFormat="false" ht="13.5" hidden="false" customHeight="true" outlineLevel="0" collapsed="false">
      <c r="A36" s="20" t="s">
        <v>109</v>
      </c>
      <c r="B36" s="20" t="s">
        <v>110</v>
      </c>
      <c r="C36" s="20" t="s">
        <v>43</v>
      </c>
      <c r="D36" s="20" t="s">
        <v>37</v>
      </c>
      <c r="E36" s="20" t="s">
        <v>111</v>
      </c>
      <c r="F36" s="21" t="n">
        <v>2020</v>
      </c>
      <c r="G36" s="21"/>
      <c r="H36" s="22" t="n">
        <v>246.7</v>
      </c>
      <c r="I36" s="22" t="n">
        <v>32.2</v>
      </c>
      <c r="J36" s="21"/>
      <c r="K36" s="23" t="n">
        <v>10610000</v>
      </c>
      <c r="L36" s="21"/>
      <c r="M36" s="20" t="s">
        <v>112</v>
      </c>
    </row>
    <row r="37" customFormat="false" ht="13.5" hidden="false" customHeight="true" outlineLevel="0" collapsed="false">
      <c r="A37" s="20" t="s">
        <v>113</v>
      </c>
      <c r="B37" s="20" t="s">
        <v>110</v>
      </c>
      <c r="C37" s="20" t="s">
        <v>43</v>
      </c>
      <c r="D37" s="20" t="s">
        <v>37</v>
      </c>
      <c r="E37" s="20" t="s">
        <v>114</v>
      </c>
      <c r="F37" s="21" t="n">
        <v>2021</v>
      </c>
      <c r="G37" s="21"/>
      <c r="H37" s="22" t="n">
        <v>394.8</v>
      </c>
      <c r="I37" s="22" t="n">
        <v>99.1</v>
      </c>
      <c r="J37" s="21"/>
      <c r="K37" s="23" t="n">
        <v>10610000</v>
      </c>
      <c r="L37" s="21"/>
      <c r="M37" s="20" t="s">
        <v>115</v>
      </c>
    </row>
    <row r="38" customFormat="false" ht="13.5" hidden="false" customHeight="true" outlineLevel="0" collapsed="false">
      <c r="A38" s="20" t="s">
        <v>116</v>
      </c>
      <c r="B38" s="20" t="s">
        <v>110</v>
      </c>
      <c r="C38" s="20" t="s">
        <v>43</v>
      </c>
      <c r="D38" s="20" t="s">
        <v>37</v>
      </c>
      <c r="E38" s="20" t="s">
        <v>117</v>
      </c>
      <c r="F38" s="21" t="n">
        <v>2022</v>
      </c>
      <c r="G38" s="21"/>
      <c r="H38" s="22" t="n">
        <v>400.1</v>
      </c>
      <c r="I38" s="22" t="n">
        <v>86.5</v>
      </c>
      <c r="J38" s="21"/>
      <c r="K38" s="23" t="n">
        <v>10610000</v>
      </c>
      <c r="L38" s="21"/>
      <c r="M38" s="20" t="s">
        <v>118</v>
      </c>
    </row>
    <row r="39" customFormat="false" ht="13.5" hidden="false" customHeight="true" outlineLevel="0" collapsed="false">
      <c r="A39" s="20" t="s">
        <v>119</v>
      </c>
      <c r="B39" s="20" t="s">
        <v>110</v>
      </c>
      <c r="C39" s="20" t="s">
        <v>43</v>
      </c>
      <c r="D39" s="20" t="s">
        <v>37</v>
      </c>
      <c r="E39" s="20" t="s">
        <v>120</v>
      </c>
      <c r="F39" s="21" t="n">
        <v>2023</v>
      </c>
      <c r="G39" s="21"/>
      <c r="H39" s="22" t="n">
        <v>333.3</v>
      </c>
      <c r="I39" s="22" t="n">
        <v>55.7</v>
      </c>
      <c r="J39" s="22" t="n">
        <v>174</v>
      </c>
      <c r="K39" s="23" t="n">
        <v>10610000</v>
      </c>
      <c r="L39" s="22" t="n">
        <v>50.9</v>
      </c>
      <c r="M39" s="20" t="s">
        <v>121</v>
      </c>
    </row>
    <row r="40" customFormat="false" ht="13.5" hidden="false" customHeight="true" outlineLevel="0" collapsed="false">
      <c r="A40" s="20" t="s">
        <v>122</v>
      </c>
      <c r="B40" s="20" t="s">
        <v>110</v>
      </c>
      <c r="C40" s="20" t="s">
        <v>43</v>
      </c>
      <c r="D40" s="20" t="s">
        <v>37</v>
      </c>
      <c r="E40" s="20" t="s">
        <v>123</v>
      </c>
      <c r="F40" s="21" t="n">
        <v>2024</v>
      </c>
      <c r="G40" s="21"/>
      <c r="H40" s="22" t="n">
        <v>355.3</v>
      </c>
      <c r="I40" s="22" t="n">
        <v>73</v>
      </c>
      <c r="J40" s="22" t="n">
        <v>174</v>
      </c>
      <c r="K40" s="23" t="n">
        <v>10610000</v>
      </c>
      <c r="L40" s="22" t="n">
        <v>16.4</v>
      </c>
      <c r="M40" s="20" t="s">
        <v>124</v>
      </c>
    </row>
    <row r="41" customFormat="false" ht="13.5" hidden="false" customHeight="true" outlineLevel="0" collapsed="false">
      <c r="A41" s="20" t="s">
        <v>125</v>
      </c>
      <c r="B41" s="20" t="s">
        <v>110</v>
      </c>
      <c r="C41" s="20" t="s">
        <v>43</v>
      </c>
      <c r="D41" s="20" t="s">
        <v>37</v>
      </c>
      <c r="E41" s="20" t="s">
        <v>126</v>
      </c>
      <c r="F41" s="21" t="n">
        <v>2024</v>
      </c>
      <c r="G41" s="21"/>
      <c r="H41" s="21"/>
      <c r="I41" s="21"/>
      <c r="J41" s="22" t="n">
        <v>1300</v>
      </c>
      <c r="K41" s="23" t="n">
        <v>1800000</v>
      </c>
      <c r="L41" s="22" t="n">
        <v>722</v>
      </c>
      <c r="M41" s="20" t="s">
        <v>127</v>
      </c>
    </row>
    <row r="42" customFormat="false" ht="13.5" hidden="false" customHeight="true" outlineLevel="0" collapsed="false">
      <c r="A42" s="20" t="s">
        <v>128</v>
      </c>
      <c r="B42" s="20" t="s">
        <v>110</v>
      </c>
      <c r="C42" s="20" t="s">
        <v>17</v>
      </c>
      <c r="D42" s="20" t="s">
        <v>18</v>
      </c>
      <c r="E42" s="20" t="s">
        <v>129</v>
      </c>
      <c r="F42" s="21" t="n">
        <v>2024</v>
      </c>
      <c r="G42" s="21"/>
      <c r="H42" s="21"/>
      <c r="I42" s="21"/>
      <c r="J42" s="21"/>
      <c r="K42" s="21"/>
      <c r="L42" s="21"/>
      <c r="M42" s="20" t="s">
        <v>130</v>
      </c>
    </row>
    <row r="43" customFormat="false" ht="13.5" hidden="false" customHeight="true" outlineLevel="0" collapsed="false">
      <c r="A43" s="20" t="s">
        <v>131</v>
      </c>
      <c r="B43" s="20" t="s">
        <v>110</v>
      </c>
      <c r="C43" s="20" t="s">
        <v>17</v>
      </c>
      <c r="D43" s="20" t="s">
        <v>18</v>
      </c>
      <c r="E43" s="20" t="s">
        <v>132</v>
      </c>
      <c r="F43" s="21" t="n">
        <v>2023</v>
      </c>
      <c r="G43" s="21"/>
      <c r="H43" s="21"/>
      <c r="I43" s="21"/>
      <c r="J43" s="21"/>
      <c r="K43" s="21"/>
      <c r="L43" s="21"/>
      <c r="M43" s="20" t="s">
        <v>133</v>
      </c>
    </row>
    <row r="44" customFormat="false" ht="13.5" hidden="false" customHeight="true" outlineLevel="0" collapsed="false">
      <c r="A44" s="20" t="s">
        <v>134</v>
      </c>
      <c r="B44" s="20" t="s">
        <v>110</v>
      </c>
      <c r="C44" s="20" t="s">
        <v>17</v>
      </c>
      <c r="D44" s="20" t="s">
        <v>18</v>
      </c>
      <c r="E44" s="20" t="s">
        <v>135</v>
      </c>
      <c r="F44" s="21" t="n">
        <v>2024</v>
      </c>
      <c r="G44" s="21"/>
      <c r="H44" s="21"/>
      <c r="I44" s="21"/>
      <c r="J44" s="21"/>
      <c r="K44" s="21"/>
      <c r="L44" s="21"/>
      <c r="M44" s="20" t="s">
        <v>136</v>
      </c>
    </row>
    <row r="45" customFormat="false" ht="13.5" hidden="false" customHeight="true" outlineLevel="0" collapsed="false">
      <c r="A45" s="20" t="s">
        <v>137</v>
      </c>
      <c r="B45" s="20" t="s">
        <v>110</v>
      </c>
      <c r="C45" s="20" t="s">
        <v>17</v>
      </c>
      <c r="D45" s="20" t="s">
        <v>18</v>
      </c>
      <c r="E45" s="20" t="s">
        <v>138</v>
      </c>
      <c r="F45" s="21" t="n">
        <v>2023</v>
      </c>
      <c r="G45" s="21"/>
      <c r="H45" s="21"/>
      <c r="I45" s="21"/>
      <c r="J45" s="21"/>
      <c r="K45" s="21"/>
      <c r="L45" s="21"/>
      <c r="M45" s="20" t="s">
        <v>139</v>
      </c>
    </row>
    <row r="46" customFormat="false" ht="13.5" hidden="false" customHeight="true" outlineLevel="0" collapsed="false">
      <c r="A46" s="20" t="s">
        <v>140</v>
      </c>
      <c r="B46" s="20" t="s">
        <v>110</v>
      </c>
      <c r="C46" s="20" t="s">
        <v>65</v>
      </c>
      <c r="D46" s="20" t="s">
        <v>37</v>
      </c>
      <c r="E46" s="20" t="s">
        <v>141</v>
      </c>
      <c r="F46" s="21" t="n">
        <v>2023</v>
      </c>
      <c r="G46" s="21"/>
      <c r="H46" s="22" t="n">
        <v>510.6</v>
      </c>
      <c r="I46" s="22" t="n">
        <v>51.9</v>
      </c>
      <c r="J46" s="22" t="n">
        <v>17.1</v>
      </c>
      <c r="K46" s="21"/>
      <c r="L46" s="21"/>
      <c r="M46" s="20" t="s">
        <v>142</v>
      </c>
    </row>
    <row r="47" customFormat="false" ht="13.5" hidden="false" customHeight="true" outlineLevel="0" collapsed="false">
      <c r="A47" s="20" t="s">
        <v>143</v>
      </c>
      <c r="B47" s="20" t="s">
        <v>110</v>
      </c>
      <c r="C47" s="20" t="s">
        <v>65</v>
      </c>
      <c r="D47" s="20" t="s">
        <v>37</v>
      </c>
      <c r="E47" s="20" t="s">
        <v>144</v>
      </c>
      <c r="F47" s="21" t="n">
        <v>2024</v>
      </c>
      <c r="G47" s="21"/>
      <c r="H47" s="21"/>
      <c r="I47" s="21"/>
      <c r="J47" s="21"/>
      <c r="K47" s="21"/>
      <c r="L47" s="21"/>
      <c r="M47" s="20" t="s">
        <v>145</v>
      </c>
    </row>
    <row r="48" customFormat="false" ht="13.5" hidden="false" customHeight="true" outlineLevel="0" collapsed="false">
      <c r="A48" s="20" t="s">
        <v>146</v>
      </c>
      <c r="B48" s="20" t="s">
        <v>110</v>
      </c>
      <c r="C48" s="20" t="s">
        <v>65</v>
      </c>
      <c r="D48" s="20" t="s">
        <v>147</v>
      </c>
      <c r="E48" s="20" t="s">
        <v>148</v>
      </c>
      <c r="F48" s="21" t="n">
        <v>2025</v>
      </c>
      <c r="G48" s="21"/>
      <c r="H48" s="21"/>
      <c r="I48" s="21"/>
      <c r="J48" s="21"/>
      <c r="K48" s="23" t="n">
        <v>42000</v>
      </c>
      <c r="L48" s="22" t="n">
        <v>2047.6</v>
      </c>
      <c r="M48" s="20" t="s">
        <v>149</v>
      </c>
    </row>
    <row r="49" customFormat="false" ht="13.5" hidden="false" customHeight="true" outlineLevel="0" collapsed="false">
      <c r="A49" s="20" t="s">
        <v>150</v>
      </c>
      <c r="B49" s="20" t="s">
        <v>110</v>
      </c>
      <c r="C49" s="20" t="s">
        <v>65</v>
      </c>
      <c r="D49" s="20" t="s">
        <v>147</v>
      </c>
      <c r="E49" s="20" t="s">
        <v>148</v>
      </c>
      <c r="F49" s="21" t="n">
        <v>2025</v>
      </c>
      <c r="G49" s="21"/>
      <c r="H49" s="21"/>
      <c r="I49" s="21"/>
      <c r="J49" s="21"/>
      <c r="K49" s="23" t="n">
        <v>42000</v>
      </c>
      <c r="L49" s="22" t="n">
        <v>3333.3</v>
      </c>
      <c r="M49" s="20" t="s">
        <v>151</v>
      </c>
    </row>
    <row r="50" customFormat="false" ht="13.5" hidden="false" customHeight="true" outlineLevel="0" collapsed="false">
      <c r="A50" s="24" t="s">
        <v>152</v>
      </c>
      <c r="B50" s="24" t="s">
        <v>153</v>
      </c>
      <c r="C50" s="24" t="s">
        <v>154</v>
      </c>
      <c r="D50" s="24" t="s">
        <v>18</v>
      </c>
      <c r="E50" s="24" t="s">
        <v>155</v>
      </c>
      <c r="F50" s="25" t="n">
        <v>2024</v>
      </c>
      <c r="G50" s="25"/>
      <c r="H50" s="25"/>
      <c r="I50" s="25"/>
      <c r="J50" s="25"/>
      <c r="K50" s="25"/>
      <c r="L50" s="25"/>
      <c r="M50" s="24" t="s">
        <v>156</v>
      </c>
    </row>
    <row r="51" customFormat="false" ht="13.5" hidden="false" customHeight="true" outlineLevel="0" collapsed="false">
      <c r="A51" s="24" t="s">
        <v>157</v>
      </c>
      <c r="B51" s="24" t="s">
        <v>153</v>
      </c>
      <c r="C51" s="24" t="s">
        <v>154</v>
      </c>
      <c r="D51" s="24" t="s">
        <v>18</v>
      </c>
      <c r="E51" s="24" t="s">
        <v>158</v>
      </c>
      <c r="F51" s="25" t="n">
        <v>2030</v>
      </c>
      <c r="G51" s="25"/>
      <c r="H51" s="25"/>
      <c r="I51" s="25"/>
      <c r="J51" s="25"/>
      <c r="K51" s="25"/>
      <c r="L51" s="25"/>
      <c r="M51" s="24" t="s">
        <v>159</v>
      </c>
    </row>
    <row r="52" customFormat="false" ht="13.5" hidden="false" customHeight="true" outlineLevel="0" collapsed="false">
      <c r="A52" s="24" t="s">
        <v>160</v>
      </c>
      <c r="B52" s="24" t="s">
        <v>153</v>
      </c>
      <c r="C52" s="24" t="s">
        <v>154</v>
      </c>
      <c r="D52" s="24" t="s">
        <v>37</v>
      </c>
      <c r="E52" s="24" t="s">
        <v>161</v>
      </c>
      <c r="F52" s="25" t="n">
        <v>2030</v>
      </c>
      <c r="G52" s="25"/>
      <c r="H52" s="25"/>
      <c r="I52" s="25"/>
      <c r="J52" s="25"/>
      <c r="K52" s="25"/>
      <c r="L52" s="25"/>
      <c r="M52" s="24" t="s">
        <v>162</v>
      </c>
    </row>
    <row r="53" customFormat="false" ht="13.5" hidden="false" customHeight="true" outlineLevel="0" collapsed="false">
      <c r="A53" s="24" t="s">
        <v>163</v>
      </c>
      <c r="B53" s="24" t="s">
        <v>153</v>
      </c>
      <c r="C53" s="24" t="s">
        <v>164</v>
      </c>
      <c r="D53" s="24" t="s">
        <v>18</v>
      </c>
      <c r="E53" s="24" t="s">
        <v>165</v>
      </c>
      <c r="F53" s="25" t="n">
        <v>2024</v>
      </c>
      <c r="G53" s="25"/>
      <c r="H53" s="25"/>
      <c r="I53" s="25"/>
      <c r="J53" s="25"/>
      <c r="K53" s="25"/>
      <c r="L53" s="25"/>
      <c r="M53" s="24" t="s">
        <v>166</v>
      </c>
    </row>
    <row r="54" customFormat="false" ht="13.5" hidden="false" customHeight="true" outlineLevel="0" collapsed="false">
      <c r="A54" s="24" t="s">
        <v>167</v>
      </c>
      <c r="B54" s="24" t="s">
        <v>153</v>
      </c>
      <c r="C54" s="24" t="s">
        <v>164</v>
      </c>
      <c r="D54" s="24" t="s">
        <v>18</v>
      </c>
      <c r="E54" s="24" t="s">
        <v>168</v>
      </c>
      <c r="F54" s="25" t="n">
        <v>2030</v>
      </c>
      <c r="G54" s="25"/>
      <c r="H54" s="25"/>
      <c r="I54" s="25"/>
      <c r="J54" s="25"/>
      <c r="K54" s="25"/>
      <c r="L54" s="25"/>
      <c r="M54" s="24" t="s">
        <v>169</v>
      </c>
    </row>
    <row r="55" customFormat="false" ht="13.5" hidden="false" customHeight="true" outlineLevel="0" collapsed="false">
      <c r="A55" s="24" t="s">
        <v>170</v>
      </c>
      <c r="B55" s="24" t="s">
        <v>153</v>
      </c>
      <c r="C55" s="24" t="s">
        <v>164</v>
      </c>
      <c r="D55" s="24" t="s">
        <v>18</v>
      </c>
      <c r="E55" s="24" t="s">
        <v>168</v>
      </c>
      <c r="F55" s="25" t="n">
        <v>2030</v>
      </c>
      <c r="G55" s="25"/>
      <c r="H55" s="25"/>
      <c r="I55" s="25"/>
      <c r="J55" s="25"/>
      <c r="K55" s="25"/>
      <c r="L55" s="25"/>
      <c r="M55" s="24" t="s">
        <v>171</v>
      </c>
    </row>
    <row r="56" customFormat="false" ht="13.5" hidden="false" customHeight="true" outlineLevel="0" collapsed="false">
      <c r="A56" s="24" t="s">
        <v>172</v>
      </c>
      <c r="B56" s="24" t="s">
        <v>153</v>
      </c>
      <c r="C56" s="24" t="s">
        <v>173</v>
      </c>
      <c r="D56" s="24" t="s">
        <v>18</v>
      </c>
      <c r="E56" s="24" t="s">
        <v>165</v>
      </c>
      <c r="F56" s="25" t="n">
        <v>2024</v>
      </c>
      <c r="G56" s="25"/>
      <c r="H56" s="25"/>
      <c r="I56" s="25"/>
      <c r="J56" s="25"/>
      <c r="K56" s="25"/>
      <c r="L56" s="25"/>
      <c r="M56" s="24" t="s">
        <v>174</v>
      </c>
    </row>
    <row r="57" customFormat="false" ht="13.5" hidden="false" customHeight="true" outlineLevel="0" collapsed="false">
      <c r="A57" s="24" t="s">
        <v>175</v>
      </c>
      <c r="B57" s="24" t="s">
        <v>153</v>
      </c>
      <c r="C57" s="24" t="s">
        <v>173</v>
      </c>
      <c r="D57" s="24" t="s">
        <v>18</v>
      </c>
      <c r="E57" s="24" t="s">
        <v>168</v>
      </c>
      <c r="F57" s="25" t="n">
        <v>2030</v>
      </c>
      <c r="G57" s="25"/>
      <c r="H57" s="25"/>
      <c r="I57" s="25"/>
      <c r="J57" s="25"/>
      <c r="K57" s="25"/>
      <c r="L57" s="25"/>
      <c r="M57" s="24" t="s">
        <v>176</v>
      </c>
    </row>
    <row r="58" customFormat="false" ht="13.5" hidden="false" customHeight="true" outlineLevel="0" collapsed="false">
      <c r="A58" s="24" t="s">
        <v>177</v>
      </c>
      <c r="B58" s="24" t="s">
        <v>153</v>
      </c>
      <c r="C58" s="24" t="s">
        <v>173</v>
      </c>
      <c r="D58" s="24" t="s">
        <v>18</v>
      </c>
      <c r="E58" s="24" t="s">
        <v>168</v>
      </c>
      <c r="F58" s="25" t="n">
        <v>2030</v>
      </c>
      <c r="G58" s="25"/>
      <c r="H58" s="25"/>
      <c r="I58" s="25"/>
      <c r="J58" s="25"/>
      <c r="K58" s="25"/>
      <c r="L58" s="25"/>
      <c r="M58" s="24" t="s">
        <v>178</v>
      </c>
    </row>
    <row r="59" customFormat="false" ht="13.5" hidden="false" customHeight="true" outlineLevel="0" collapsed="false">
      <c r="A59" s="24" t="s">
        <v>179</v>
      </c>
      <c r="B59" s="24" t="s">
        <v>153</v>
      </c>
      <c r="C59" s="24" t="s">
        <v>180</v>
      </c>
      <c r="D59" s="24" t="s">
        <v>18</v>
      </c>
      <c r="E59" s="24" t="s">
        <v>165</v>
      </c>
      <c r="F59" s="25" t="n">
        <v>2024</v>
      </c>
      <c r="G59" s="25"/>
      <c r="H59" s="25"/>
      <c r="I59" s="25"/>
      <c r="J59" s="25"/>
      <c r="K59" s="25"/>
      <c r="L59" s="25"/>
      <c r="M59" s="24" t="s">
        <v>181</v>
      </c>
    </row>
    <row r="60" customFormat="false" ht="13.5" hidden="false" customHeight="true" outlineLevel="0" collapsed="false">
      <c r="A60" s="24" t="s">
        <v>182</v>
      </c>
      <c r="B60" s="24" t="s">
        <v>153</v>
      </c>
      <c r="C60" s="24" t="s">
        <v>180</v>
      </c>
      <c r="D60" s="24" t="s">
        <v>18</v>
      </c>
      <c r="E60" s="24" t="s">
        <v>165</v>
      </c>
      <c r="F60" s="25" t="n">
        <v>2030</v>
      </c>
      <c r="G60" s="25"/>
      <c r="H60" s="25"/>
      <c r="I60" s="25"/>
      <c r="J60" s="25"/>
      <c r="K60" s="25"/>
      <c r="L60" s="25"/>
      <c r="M60" s="24" t="s">
        <v>183</v>
      </c>
    </row>
    <row r="61" customFormat="false" ht="13.5" hidden="false" customHeight="true" outlineLevel="0" collapsed="false">
      <c r="A61" s="24" t="s">
        <v>184</v>
      </c>
      <c r="B61" s="24" t="s">
        <v>153</v>
      </c>
      <c r="C61" s="24" t="s">
        <v>180</v>
      </c>
      <c r="D61" s="24" t="s">
        <v>37</v>
      </c>
      <c r="E61" s="24" t="s">
        <v>165</v>
      </c>
      <c r="F61" s="25" t="n">
        <v>2024</v>
      </c>
      <c r="G61" s="25"/>
      <c r="H61" s="25"/>
      <c r="I61" s="25"/>
      <c r="J61" s="25"/>
      <c r="K61" s="25"/>
      <c r="L61" s="25"/>
      <c r="M61" s="24" t="s">
        <v>185</v>
      </c>
    </row>
    <row r="62" customFormat="false" ht="13.5" hidden="false" customHeight="true" outlineLevel="0" collapsed="false">
      <c r="A62" s="26" t="s">
        <v>186</v>
      </c>
      <c r="B62" s="26" t="s">
        <v>187</v>
      </c>
      <c r="C62" s="26" t="s">
        <v>188</v>
      </c>
      <c r="D62" s="26" t="s">
        <v>18</v>
      </c>
      <c r="E62" s="26" t="s">
        <v>189</v>
      </c>
      <c r="F62" s="27" t="n">
        <v>2024</v>
      </c>
      <c r="G62" s="27"/>
      <c r="H62" s="27"/>
      <c r="I62" s="27"/>
      <c r="J62" s="27"/>
      <c r="K62" s="27"/>
      <c r="L62" s="27"/>
      <c r="M62" s="26" t="s">
        <v>190</v>
      </c>
    </row>
    <row r="63" customFormat="false" ht="13.5" hidden="false" customHeight="true" outlineLevel="0" collapsed="false">
      <c r="A63" s="26" t="s">
        <v>191</v>
      </c>
      <c r="B63" s="26" t="s">
        <v>187</v>
      </c>
      <c r="C63" s="26" t="s">
        <v>188</v>
      </c>
      <c r="D63" s="26" t="s">
        <v>18</v>
      </c>
      <c r="E63" s="26" t="s">
        <v>189</v>
      </c>
      <c r="F63" s="27" t="n">
        <v>2024</v>
      </c>
      <c r="G63" s="27"/>
      <c r="H63" s="27"/>
      <c r="I63" s="27"/>
      <c r="J63" s="27"/>
      <c r="K63" s="27"/>
      <c r="L63" s="27"/>
      <c r="M63" s="26" t="s">
        <v>192</v>
      </c>
    </row>
    <row r="64" customFormat="false" ht="13.5" hidden="false" customHeight="true" outlineLevel="0" collapsed="false">
      <c r="A64" s="26" t="s">
        <v>193</v>
      </c>
      <c r="B64" s="26" t="s">
        <v>187</v>
      </c>
      <c r="C64" s="26" t="s">
        <v>188</v>
      </c>
      <c r="D64" s="26" t="s">
        <v>18</v>
      </c>
      <c r="E64" s="26" t="s">
        <v>189</v>
      </c>
      <c r="F64" s="27" t="n">
        <v>2024</v>
      </c>
      <c r="G64" s="27"/>
      <c r="H64" s="27"/>
      <c r="I64" s="27"/>
      <c r="J64" s="27"/>
      <c r="K64" s="27"/>
      <c r="L64" s="27"/>
      <c r="M64" s="26" t="s">
        <v>194</v>
      </c>
    </row>
    <row r="65" customFormat="false" ht="13.5" hidden="false" customHeight="true" outlineLevel="0" collapsed="false">
      <c r="A65" s="26" t="s">
        <v>195</v>
      </c>
      <c r="B65" s="26" t="s">
        <v>187</v>
      </c>
      <c r="C65" s="26" t="s">
        <v>188</v>
      </c>
      <c r="D65" s="26" t="s">
        <v>18</v>
      </c>
      <c r="E65" s="26" t="s">
        <v>189</v>
      </c>
      <c r="F65" s="27" t="n">
        <v>2024</v>
      </c>
      <c r="G65" s="27"/>
      <c r="H65" s="27"/>
      <c r="I65" s="27"/>
      <c r="J65" s="27"/>
      <c r="K65" s="27"/>
      <c r="L65" s="27"/>
      <c r="M65" s="26" t="s">
        <v>196</v>
      </c>
    </row>
    <row r="66" customFormat="false" ht="13.5" hidden="false" customHeight="true" outlineLevel="0" collapsed="false">
      <c r="A66" s="26" t="s">
        <v>197</v>
      </c>
      <c r="B66" s="26" t="s">
        <v>187</v>
      </c>
      <c r="C66" s="26" t="s">
        <v>188</v>
      </c>
      <c r="D66" s="26" t="s">
        <v>18</v>
      </c>
      <c r="E66" s="26" t="s">
        <v>198</v>
      </c>
      <c r="F66" s="27" t="n">
        <v>2024</v>
      </c>
      <c r="G66" s="27"/>
      <c r="H66" s="27"/>
      <c r="I66" s="27"/>
      <c r="J66" s="27"/>
      <c r="K66" s="27"/>
      <c r="L66" s="27"/>
      <c r="M66" s="26" t="s">
        <v>199</v>
      </c>
    </row>
    <row r="67" customFormat="false" ht="13.5" hidden="false" customHeight="true" outlineLevel="0" collapsed="false">
      <c r="A67" s="26" t="s">
        <v>200</v>
      </c>
      <c r="B67" s="26" t="s">
        <v>187</v>
      </c>
      <c r="C67" s="26" t="s">
        <v>188</v>
      </c>
      <c r="D67" s="26" t="s">
        <v>18</v>
      </c>
      <c r="E67" s="26" t="s">
        <v>198</v>
      </c>
      <c r="F67" s="27" t="n">
        <v>2024</v>
      </c>
      <c r="G67" s="27"/>
      <c r="H67" s="27"/>
      <c r="I67" s="27"/>
      <c r="J67" s="27"/>
      <c r="K67" s="27"/>
      <c r="L67" s="27"/>
      <c r="M67" s="26" t="s">
        <v>201</v>
      </c>
    </row>
    <row r="68" customFormat="false" ht="13.5" hidden="false" customHeight="true" outlineLevel="0" collapsed="false">
      <c r="A68" s="26" t="s">
        <v>202</v>
      </c>
      <c r="B68" s="26" t="s">
        <v>187</v>
      </c>
      <c r="C68" s="26" t="s">
        <v>188</v>
      </c>
      <c r="D68" s="26" t="s">
        <v>18</v>
      </c>
      <c r="E68" s="26" t="s">
        <v>198</v>
      </c>
      <c r="F68" s="27" t="n">
        <v>2024</v>
      </c>
      <c r="G68" s="27"/>
      <c r="H68" s="27"/>
      <c r="I68" s="27"/>
      <c r="J68" s="27"/>
      <c r="K68" s="27"/>
      <c r="L68" s="27"/>
      <c r="M68" s="26" t="s">
        <v>203</v>
      </c>
    </row>
    <row r="69" customFormat="false" ht="13.5" hidden="false" customHeight="true" outlineLevel="0" collapsed="false">
      <c r="A69" s="26" t="s">
        <v>204</v>
      </c>
      <c r="B69" s="26" t="s">
        <v>187</v>
      </c>
      <c r="C69" s="26" t="s">
        <v>205</v>
      </c>
      <c r="D69" s="26" t="s">
        <v>18</v>
      </c>
      <c r="E69" s="26" t="s">
        <v>206</v>
      </c>
      <c r="F69" s="27" t="n">
        <v>2024</v>
      </c>
      <c r="G69" s="27"/>
      <c r="H69" s="27"/>
      <c r="I69" s="27"/>
      <c r="J69" s="28" t="n">
        <v>40</v>
      </c>
      <c r="K69" s="29" t="n">
        <v>200000</v>
      </c>
      <c r="L69" s="28" t="n">
        <v>200</v>
      </c>
      <c r="M69" s="26" t="s">
        <v>207</v>
      </c>
    </row>
    <row r="70" customFormat="false" ht="13.5" hidden="false" customHeight="true" outlineLevel="0" collapsed="false">
      <c r="A70" s="26" t="s">
        <v>208</v>
      </c>
      <c r="B70" s="26" t="s">
        <v>187</v>
      </c>
      <c r="C70" s="26" t="s">
        <v>209</v>
      </c>
      <c r="D70" s="26" t="s">
        <v>18</v>
      </c>
      <c r="E70" s="26" t="s">
        <v>206</v>
      </c>
      <c r="F70" s="27" t="n">
        <v>2024</v>
      </c>
      <c r="G70" s="27"/>
      <c r="H70" s="27"/>
      <c r="I70" s="27"/>
      <c r="J70" s="28" t="n">
        <v>40</v>
      </c>
      <c r="K70" s="29" t="n">
        <v>200000</v>
      </c>
      <c r="L70" s="28" t="n">
        <v>200</v>
      </c>
      <c r="M70" s="26" t="s">
        <v>210</v>
      </c>
    </row>
    <row r="71" customFormat="false" ht="13.5" hidden="false" customHeight="true" outlineLevel="0" collapsed="false">
      <c r="A71" s="26" t="s">
        <v>211</v>
      </c>
      <c r="B71" s="26" t="s">
        <v>187</v>
      </c>
      <c r="C71" s="26" t="s">
        <v>212</v>
      </c>
      <c r="D71" s="26" t="s">
        <v>18</v>
      </c>
      <c r="E71" s="26" t="s">
        <v>206</v>
      </c>
      <c r="F71" s="27" t="n">
        <v>2024</v>
      </c>
      <c r="G71" s="27"/>
      <c r="H71" s="27"/>
      <c r="I71" s="27"/>
      <c r="J71" s="28" t="n">
        <v>250</v>
      </c>
      <c r="K71" s="29" t="n">
        <v>200000</v>
      </c>
      <c r="L71" s="28" t="n">
        <v>1250</v>
      </c>
      <c r="M71" s="26" t="s">
        <v>213</v>
      </c>
    </row>
    <row r="72" customFormat="false" ht="13.5" hidden="false" customHeight="true" outlineLevel="0" collapsed="false">
      <c r="A72" s="26" t="s">
        <v>214</v>
      </c>
      <c r="B72" s="26" t="s">
        <v>187</v>
      </c>
      <c r="C72" s="26" t="s">
        <v>215</v>
      </c>
      <c r="D72" s="26" t="s">
        <v>18</v>
      </c>
      <c r="E72" s="26" t="s">
        <v>206</v>
      </c>
      <c r="F72" s="27" t="n">
        <v>2024</v>
      </c>
      <c r="G72" s="27"/>
      <c r="H72" s="27"/>
      <c r="I72" s="27"/>
      <c r="J72" s="28" t="n">
        <v>250</v>
      </c>
      <c r="K72" s="29" t="n">
        <v>200000</v>
      </c>
      <c r="L72" s="28" t="n">
        <v>1250</v>
      </c>
      <c r="M72" s="26" t="s">
        <v>216</v>
      </c>
    </row>
    <row r="73" customFormat="false" ht="13.5" hidden="false" customHeight="true" outlineLevel="0" collapsed="false">
      <c r="A73" s="26" t="s">
        <v>217</v>
      </c>
      <c r="B73" s="26" t="s">
        <v>187</v>
      </c>
      <c r="C73" s="26" t="s">
        <v>218</v>
      </c>
      <c r="D73" s="26" t="s">
        <v>18</v>
      </c>
      <c r="E73" s="26" t="s">
        <v>206</v>
      </c>
      <c r="F73" s="27" t="n">
        <v>2030</v>
      </c>
      <c r="G73" s="27"/>
      <c r="H73" s="27"/>
      <c r="I73" s="27"/>
      <c r="J73" s="28" t="n">
        <v>150</v>
      </c>
      <c r="K73" s="29" t="n">
        <v>200000</v>
      </c>
      <c r="L73" s="28" t="n">
        <v>750</v>
      </c>
      <c r="M73" s="26" t="s">
        <v>219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2"/>
    <col collapsed="false" customWidth="true" hidden="false" outlineLevel="0" max="3" min="3" style="1" width="7"/>
    <col collapsed="false" customWidth="true" hidden="false" outlineLevel="0" max="9" min="4" style="1" width="13"/>
  </cols>
  <sheetData>
    <row r="1" customFormat="false" ht="21.75" hidden="false" customHeight="true" outlineLevel="0" collapsed="false">
      <c r="A1" s="2" t="s">
        <v>220</v>
      </c>
      <c r="B1" s="2"/>
      <c r="C1" s="2"/>
      <c r="D1" s="2"/>
      <c r="E1" s="2"/>
      <c r="F1" s="2"/>
      <c r="G1" s="2"/>
      <c r="H1" s="2"/>
      <c r="I1" s="2"/>
    </row>
    <row r="3" customFormat="false" ht="15.75" hidden="false" customHeight="true" outlineLevel="0" collapsed="false">
      <c r="A3" s="30" t="s">
        <v>221</v>
      </c>
      <c r="B3" s="30"/>
      <c r="C3" s="30"/>
      <c r="D3" s="30"/>
      <c r="E3" s="30"/>
      <c r="F3" s="30"/>
      <c r="G3" s="30"/>
      <c r="H3" s="30"/>
      <c r="I3" s="30"/>
    </row>
    <row r="4" customFormat="false" ht="21.75" hidden="false" customHeight="true" outlineLevel="0" collapsed="false">
      <c r="A4" s="4" t="s">
        <v>4</v>
      </c>
      <c r="B4" s="4" t="s">
        <v>222</v>
      </c>
      <c r="C4" s="4" t="s">
        <v>223</v>
      </c>
      <c r="D4" s="4" t="s">
        <v>224</v>
      </c>
      <c r="E4" s="4" t="s">
        <v>225</v>
      </c>
      <c r="F4" s="4" t="s">
        <v>226</v>
      </c>
      <c r="G4" s="4" t="s">
        <v>227</v>
      </c>
      <c r="H4" s="4" t="s">
        <v>228</v>
      </c>
      <c r="I4" s="4" t="s">
        <v>229</v>
      </c>
    </row>
    <row r="5" customFormat="false" ht="15" hidden="false" customHeight="true" outlineLevel="0" collapsed="false">
      <c r="A5" s="31" t="s">
        <v>17</v>
      </c>
      <c r="B5" s="6" t="n">
        <v>8</v>
      </c>
      <c r="C5" s="7" t="n">
        <v>246.4</v>
      </c>
      <c r="D5" s="7" t="n">
        <v>263</v>
      </c>
      <c r="E5" s="7" t="n">
        <v>61.6</v>
      </c>
      <c r="F5" s="7" t="n">
        <v>142.5</v>
      </c>
      <c r="G5" s="7" t="n">
        <v>322</v>
      </c>
      <c r="H5" s="7" t="n">
        <v>231.3</v>
      </c>
      <c r="I5" s="7" t="n">
        <v>277</v>
      </c>
    </row>
    <row r="6" customFormat="false" ht="15" hidden="false" customHeight="true" outlineLevel="0" collapsed="false">
      <c r="A6" s="32" t="s">
        <v>43</v>
      </c>
      <c r="B6" s="9" t="n">
        <v>3</v>
      </c>
      <c r="C6" s="10" t="n">
        <v>224.7</v>
      </c>
      <c r="D6" s="10" t="n">
        <v>250</v>
      </c>
      <c r="E6" s="10" t="n">
        <v>114.1</v>
      </c>
      <c r="F6" s="10" t="n">
        <v>100</v>
      </c>
      <c r="G6" s="10" t="n">
        <v>324</v>
      </c>
      <c r="H6" s="10" t="n">
        <v>175</v>
      </c>
      <c r="I6" s="10" t="n">
        <v>287</v>
      </c>
    </row>
    <row r="7" customFormat="false" ht="15" hidden="false" customHeight="true" outlineLevel="0" collapsed="false">
      <c r="A7" s="33" t="s">
        <v>54</v>
      </c>
      <c r="B7" s="12" t="n">
        <v>4</v>
      </c>
      <c r="C7" s="13" t="n">
        <v>569.5</v>
      </c>
      <c r="D7" s="13" t="n">
        <v>594</v>
      </c>
      <c r="E7" s="13" t="n">
        <v>191</v>
      </c>
      <c r="F7" s="13" t="n">
        <v>320</v>
      </c>
      <c r="G7" s="13" t="n">
        <v>770</v>
      </c>
      <c r="H7" s="13" t="n">
        <v>485</v>
      </c>
      <c r="I7" s="13" t="n">
        <v>678.5</v>
      </c>
    </row>
    <row r="8" customFormat="false" ht="15" hidden="false" customHeight="true" outlineLevel="0" collapsed="false">
      <c r="A8" s="34" t="s">
        <v>65</v>
      </c>
      <c r="B8" s="15" t="n">
        <v>26</v>
      </c>
      <c r="C8" s="16" t="n">
        <v>777.1</v>
      </c>
      <c r="D8" s="16" t="n">
        <v>651.5</v>
      </c>
      <c r="E8" s="16" t="n">
        <v>407.9</v>
      </c>
      <c r="F8" s="16" t="n">
        <v>340</v>
      </c>
      <c r="G8" s="16" t="n">
        <v>1642</v>
      </c>
      <c r="H8" s="16" t="n">
        <v>468.8</v>
      </c>
      <c r="I8" s="16" t="n">
        <v>925.5</v>
      </c>
    </row>
    <row r="9" customFormat="false" ht="15" hidden="false" customHeight="true" outlineLevel="0" collapsed="false">
      <c r="A9" s="35" t="s">
        <v>230</v>
      </c>
      <c r="B9" s="18" t="n">
        <v>2</v>
      </c>
      <c r="C9" s="19" t="n">
        <v>340.8</v>
      </c>
      <c r="D9" s="19" t="n">
        <v>340.8</v>
      </c>
      <c r="E9" s="19" t="n">
        <v>35.7</v>
      </c>
      <c r="F9" s="19" t="n">
        <v>315.5</v>
      </c>
      <c r="G9" s="19" t="n">
        <v>366</v>
      </c>
      <c r="H9" s="19" t="n">
        <v>328.1</v>
      </c>
      <c r="I9" s="19" t="n">
        <v>353.4</v>
      </c>
    </row>
    <row r="11" customFormat="false" ht="15.75" hidden="false" customHeight="true" outlineLevel="0" collapsed="false">
      <c r="A11" s="30" t="s">
        <v>231</v>
      </c>
      <c r="B11" s="30"/>
      <c r="C11" s="30"/>
      <c r="D11" s="30"/>
      <c r="E11" s="30"/>
      <c r="F11" s="30"/>
      <c r="G11" s="30"/>
      <c r="H11" s="30"/>
      <c r="I11" s="30"/>
    </row>
    <row r="12" customFormat="false" ht="21.75" hidden="false" customHeight="true" outlineLevel="0" collapsed="false">
      <c r="A12" s="4" t="s">
        <v>4</v>
      </c>
      <c r="B12" s="4" t="s">
        <v>222</v>
      </c>
      <c r="C12" s="4" t="s">
        <v>223</v>
      </c>
      <c r="D12" s="4" t="s">
        <v>224</v>
      </c>
      <c r="E12" s="4" t="s">
        <v>225</v>
      </c>
      <c r="F12" s="4" t="s">
        <v>226</v>
      </c>
      <c r="G12" s="4" t="s">
        <v>227</v>
      </c>
      <c r="H12" s="4" t="s">
        <v>228</v>
      </c>
      <c r="I12" s="4" t="s">
        <v>229</v>
      </c>
    </row>
    <row r="13" customFormat="false" ht="15" hidden="false" customHeight="true" outlineLevel="0" collapsed="false">
      <c r="A13" s="31" t="s">
        <v>232</v>
      </c>
      <c r="B13" s="6" t="n">
        <v>6</v>
      </c>
      <c r="C13" s="36" t="n">
        <v>277.4</v>
      </c>
      <c r="D13" s="36" t="n">
        <v>269.8</v>
      </c>
      <c r="E13" s="7" t="n">
        <v>25.2</v>
      </c>
      <c r="F13" s="7" t="n">
        <v>253.8</v>
      </c>
      <c r="G13" s="7" t="n">
        <v>322</v>
      </c>
      <c r="H13" s="7" t="n">
        <v>261</v>
      </c>
      <c r="I13" s="7" t="n">
        <v>285.6</v>
      </c>
    </row>
    <row r="14" customFormat="false" ht="15" hidden="false" customHeight="true" outlineLevel="0" collapsed="false">
      <c r="A14" s="34" t="s">
        <v>233</v>
      </c>
      <c r="B14" s="15" t="n">
        <v>10</v>
      </c>
      <c r="C14" s="37" t="n">
        <v>673.7</v>
      </c>
      <c r="D14" s="37" t="n">
        <v>577.5</v>
      </c>
      <c r="E14" s="16" t="n">
        <v>311.9</v>
      </c>
      <c r="F14" s="16" t="n">
        <v>355</v>
      </c>
      <c r="G14" s="16" t="n">
        <v>1415</v>
      </c>
      <c r="H14" s="16" t="n">
        <v>504.2</v>
      </c>
      <c r="I14" s="16" t="n">
        <v>713.5</v>
      </c>
    </row>
    <row r="16" customFormat="false" ht="15" hidden="false" customHeight="true" outlineLevel="0" collapsed="false">
      <c r="A16" s="38" t="s">
        <v>234</v>
      </c>
      <c r="B16" s="38"/>
      <c r="C16" s="38"/>
      <c r="D16" s="38"/>
      <c r="E16" s="38"/>
      <c r="F16" s="38"/>
      <c r="G16" s="38"/>
      <c r="H16" s="38"/>
      <c r="I16" s="38"/>
    </row>
    <row r="18" customFormat="false" ht="15.75" hidden="false" customHeight="true" outlineLevel="0" collapsed="false">
      <c r="A18" s="30" t="s">
        <v>235</v>
      </c>
      <c r="B18" s="30"/>
      <c r="C18" s="30"/>
      <c r="D18" s="30"/>
      <c r="E18" s="30"/>
    </row>
    <row r="19" customFormat="false" ht="15" hidden="false" customHeight="true" outlineLevel="0" collapsed="false">
      <c r="A19" s="39" t="s">
        <v>236</v>
      </c>
      <c r="B19" s="39" t="s">
        <v>6</v>
      </c>
      <c r="C19" s="39" t="s">
        <v>7</v>
      </c>
      <c r="D19" s="39" t="s">
        <v>8</v>
      </c>
      <c r="E19" s="39" t="s">
        <v>237</v>
      </c>
    </row>
    <row r="20" customFormat="false" ht="15" hidden="false" customHeight="true" outlineLevel="0" collapsed="false">
      <c r="A20" s="40" t="s">
        <v>15</v>
      </c>
      <c r="B20" s="40" t="s">
        <v>19</v>
      </c>
      <c r="C20" s="40" t="n">
        <v>2017</v>
      </c>
      <c r="D20" s="41" t="n">
        <v>253.8</v>
      </c>
      <c r="E20" s="40" t="s">
        <v>238</v>
      </c>
    </row>
    <row r="21" customFormat="false" ht="15" hidden="false" customHeight="true" outlineLevel="0" collapsed="false">
      <c r="A21" s="40" t="s">
        <v>21</v>
      </c>
      <c r="B21" s="40" t="s">
        <v>22</v>
      </c>
      <c r="C21" s="40" t="n">
        <v>2020</v>
      </c>
      <c r="D21" s="41" t="n">
        <v>261</v>
      </c>
      <c r="E21" s="40" t="s">
        <v>23</v>
      </c>
    </row>
    <row r="22" customFormat="false" ht="15" hidden="false" customHeight="true" outlineLevel="0" collapsed="false">
      <c r="A22" s="42" t="s">
        <v>24</v>
      </c>
      <c r="B22" s="42" t="s">
        <v>25</v>
      </c>
      <c r="C22" s="42" t="n">
        <v>2020</v>
      </c>
      <c r="D22" s="43" t="n">
        <v>269.8</v>
      </c>
      <c r="E22" s="42" t="s">
        <v>239</v>
      </c>
    </row>
    <row r="23" customFormat="false" ht="15" hidden="false" customHeight="true" outlineLevel="0" collapsed="false">
      <c r="A23" s="40" t="s">
        <v>27</v>
      </c>
      <c r="B23" s="40" t="s">
        <v>28</v>
      </c>
      <c r="C23" s="40" t="n">
        <v>2024</v>
      </c>
      <c r="D23" s="41" t="n">
        <v>277</v>
      </c>
      <c r="E23" s="40" t="s">
        <v>29</v>
      </c>
    </row>
    <row r="24" customFormat="false" ht="15" hidden="false" customHeight="true" outlineLevel="0" collapsed="false">
      <c r="A24" s="40" t="s">
        <v>30</v>
      </c>
      <c r="B24" s="40" t="s">
        <v>31</v>
      </c>
      <c r="C24" s="40" t="n">
        <v>2022</v>
      </c>
      <c r="D24" s="41" t="n">
        <v>285.6</v>
      </c>
      <c r="E24" s="40" t="s">
        <v>240</v>
      </c>
    </row>
    <row r="25" customFormat="false" ht="15" hidden="false" customHeight="true" outlineLevel="0" collapsed="false">
      <c r="A25" s="40" t="s">
        <v>33</v>
      </c>
      <c r="B25" s="40" t="s">
        <v>34</v>
      </c>
      <c r="C25" s="40" t="n">
        <v>2024</v>
      </c>
      <c r="D25" s="41" t="n">
        <v>322</v>
      </c>
      <c r="E25" s="40" t="s">
        <v>241</v>
      </c>
    </row>
  </sheetData>
  <mergeCells count="5">
    <mergeCell ref="A1:I1"/>
    <mergeCell ref="A3:I3"/>
    <mergeCell ref="A11:I11"/>
    <mergeCell ref="A16:I16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4" min="3" style="1" width="14"/>
    <col collapsed="false" customWidth="true" hidden="false" outlineLevel="0" max="5" min="5" style="1" width="22"/>
    <col collapsed="false" customWidth="true" hidden="false" outlineLevel="0" max="6" min="6" style="1" width="45"/>
  </cols>
  <sheetData>
    <row r="1" customFormat="false" ht="21.75" hidden="false" customHeight="true" outlineLevel="0" collapsed="false">
      <c r="A1" s="2" t="s">
        <v>242</v>
      </c>
      <c r="B1" s="2"/>
      <c r="C1" s="2"/>
      <c r="D1" s="2"/>
      <c r="E1" s="2"/>
      <c r="F1" s="2"/>
      <c r="G1" s="2"/>
      <c r="H1" s="2"/>
    </row>
    <row r="3" customFormat="false" ht="15.75" hidden="false" customHeight="true" outlineLevel="0" collapsed="false">
      <c r="A3" s="30" t="s">
        <v>243</v>
      </c>
      <c r="B3" s="30"/>
      <c r="C3" s="30"/>
      <c r="D3" s="30"/>
      <c r="E3" s="30"/>
      <c r="F3" s="30"/>
      <c r="G3" s="30"/>
      <c r="H3" s="30"/>
    </row>
    <row r="4" customFormat="false" ht="15" hidden="false" customHeight="true" outlineLevel="0" collapsed="false">
      <c r="A4" s="44" t="s">
        <v>244</v>
      </c>
      <c r="B4" s="45" t="n">
        <v>269.8</v>
      </c>
      <c r="C4" s="46" t="s">
        <v>245</v>
      </c>
    </row>
    <row r="5" customFormat="false" ht="15" hidden="false" customHeight="true" outlineLevel="0" collapsed="false">
      <c r="A5" s="44" t="s">
        <v>246</v>
      </c>
      <c r="B5" s="45" t="n">
        <v>577.5</v>
      </c>
      <c r="C5" s="46" t="s">
        <v>247</v>
      </c>
    </row>
    <row r="6" customFormat="false" ht="15" hidden="false" customHeight="true" outlineLevel="0" collapsed="false">
      <c r="A6" s="44" t="s">
        <v>248</v>
      </c>
      <c r="B6" s="47" t="n">
        <v>2.3</v>
      </c>
      <c r="C6" s="46" t="s">
        <v>249</v>
      </c>
    </row>
    <row r="7" customFormat="false" ht="15" hidden="false" customHeight="true" outlineLevel="0" collapsed="false">
      <c r="A7" s="44" t="s">
        <v>250</v>
      </c>
      <c r="B7" s="48" t="n">
        <v>0.1875</v>
      </c>
      <c r="C7" s="46" t="s">
        <v>251</v>
      </c>
    </row>
    <row r="8" customFormat="false" ht="15" hidden="false" customHeight="true" outlineLevel="0" collapsed="false">
      <c r="A8" s="44" t="s">
        <v>252</v>
      </c>
      <c r="B8" s="45" t="n">
        <v>55</v>
      </c>
      <c r="C8" s="46" t="s">
        <v>253</v>
      </c>
    </row>
    <row r="9" customFormat="false" ht="15" hidden="false" customHeight="true" outlineLevel="0" collapsed="false">
      <c r="A9" s="44" t="s">
        <v>254</v>
      </c>
      <c r="B9" s="49" t="n">
        <f aca="false">B7*B8/1000*1000</f>
        <v>10.3125</v>
      </c>
      <c r="C9" s="46" t="s">
        <v>255</v>
      </c>
    </row>
    <row r="10" customFormat="false" ht="15" hidden="false" customHeight="true" outlineLevel="0" collapsed="false">
      <c r="A10" s="44" t="s">
        <v>256</v>
      </c>
      <c r="B10" s="45" t="n">
        <v>36</v>
      </c>
      <c r="C10" s="46" t="s">
        <v>257</v>
      </c>
    </row>
    <row r="11" customFormat="false" ht="15" hidden="false" customHeight="true" outlineLevel="0" collapsed="false">
      <c r="A11" s="44" t="s">
        <v>258</v>
      </c>
      <c r="B11" s="47" t="n">
        <v>3.85</v>
      </c>
      <c r="C11" s="46" t="s">
        <v>259</v>
      </c>
    </row>
    <row r="12" customFormat="false" ht="15" hidden="false" customHeight="true" outlineLevel="0" collapsed="false">
      <c r="A12" s="44" t="s">
        <v>260</v>
      </c>
      <c r="B12" s="50" t="n">
        <v>0.45</v>
      </c>
      <c r="C12" s="46" t="s">
        <v>261</v>
      </c>
    </row>
    <row r="13" customFormat="false" ht="15" hidden="false" customHeight="true" outlineLevel="0" collapsed="false">
      <c r="A13" s="44" t="s">
        <v>262</v>
      </c>
      <c r="B13" s="47" t="n">
        <v>14.4</v>
      </c>
      <c r="C13" s="46" t="s">
        <v>263</v>
      </c>
    </row>
    <row r="15" customFormat="false" ht="15" hidden="false" customHeight="true" outlineLevel="0" collapsed="false">
      <c r="A15" s="51" t="s">
        <v>264</v>
      </c>
      <c r="B15" s="52" t="n">
        <f aca="false">B5-B4</f>
        <v>307.7</v>
      </c>
      <c r="C15" s="53" t="s">
        <v>265</v>
      </c>
    </row>
    <row r="17" customFormat="false" ht="15.75" hidden="false" customHeight="true" outlineLevel="0" collapsed="false">
      <c r="A17" s="30" t="s">
        <v>266</v>
      </c>
      <c r="B17" s="30"/>
      <c r="C17" s="30"/>
      <c r="D17" s="30"/>
      <c r="E17" s="30"/>
      <c r="F17" s="30"/>
      <c r="G17" s="30"/>
      <c r="H17" s="30"/>
    </row>
    <row r="18" customFormat="false" ht="15" hidden="false" customHeight="true" outlineLevel="0" collapsed="false">
      <c r="A18" s="54" t="s">
        <v>267</v>
      </c>
    </row>
    <row r="19" customFormat="false" ht="15" hidden="false" customHeight="true" outlineLevel="0" collapsed="false">
      <c r="A19" s="55" t="s">
        <v>268</v>
      </c>
    </row>
    <row r="20" customFormat="false" ht="15" hidden="false" customHeight="true" outlineLevel="0" collapsed="false">
      <c r="A20" s="55" t="s">
        <v>269</v>
      </c>
    </row>
    <row r="21" customFormat="false" ht="15" hidden="false" customHeight="true" outlineLevel="0" collapsed="false">
      <c r="A21" s="55" t="s">
        <v>270</v>
      </c>
    </row>
    <row r="22" customFormat="false" ht="15" hidden="false" customHeight="true" outlineLevel="0" collapsed="false">
      <c r="A22" s="55"/>
    </row>
    <row r="23" customFormat="false" ht="15" hidden="false" customHeight="true" outlineLevel="0" collapsed="false">
      <c r="A23" s="54" t="s">
        <v>271</v>
      </c>
    </row>
    <row r="24" customFormat="false" ht="15" hidden="false" customHeight="true" outlineLevel="0" collapsed="false">
      <c r="A24" s="55" t="s">
        <v>272</v>
      </c>
    </row>
    <row r="25" customFormat="false" ht="15" hidden="false" customHeight="true" outlineLevel="0" collapsed="false">
      <c r="A25" s="55" t="s">
        <v>270</v>
      </c>
    </row>
    <row r="26" customFormat="false" ht="15" hidden="false" customHeight="true" outlineLevel="0" collapsed="false">
      <c r="A26" s="55"/>
    </row>
    <row r="27" customFormat="false" ht="15" hidden="false" customHeight="true" outlineLevel="0" collapsed="false">
      <c r="A27" s="56" t="s">
        <v>273</v>
      </c>
    </row>
    <row r="28" customFormat="false" ht="15" hidden="false" customHeight="true" outlineLevel="0" collapsed="false">
      <c r="A28" s="55" t="s">
        <v>274</v>
      </c>
    </row>
    <row r="29" customFormat="false" ht="15" hidden="false" customHeight="true" outlineLevel="0" collapsed="false">
      <c r="A29" s="55"/>
    </row>
    <row r="30" customFormat="false" ht="15" hidden="false" customHeight="true" outlineLevel="0" collapsed="false">
      <c r="A30" s="56" t="s">
        <v>275</v>
      </c>
    </row>
    <row r="31" customFormat="false" ht="15" hidden="false" customHeight="true" outlineLevel="0" collapsed="false">
      <c r="A31" s="55" t="s">
        <v>276</v>
      </c>
    </row>
    <row r="35" customFormat="false" ht="15.75" hidden="false" customHeight="true" outlineLevel="0" collapsed="false">
      <c r="A35" s="30" t="s">
        <v>277</v>
      </c>
      <c r="B35" s="30"/>
      <c r="C35" s="30"/>
      <c r="D35" s="30"/>
      <c r="E35" s="30"/>
      <c r="F35" s="30"/>
    </row>
    <row r="36" customFormat="false" ht="21.75" hidden="false" customHeight="true" outlineLevel="0" collapsed="false">
      <c r="A36" s="4" t="s">
        <v>278</v>
      </c>
      <c r="B36" s="4" t="s">
        <v>279</v>
      </c>
      <c r="C36" s="4" t="s">
        <v>280</v>
      </c>
      <c r="D36" s="4" t="s">
        <v>281</v>
      </c>
      <c r="E36" s="4" t="s">
        <v>282</v>
      </c>
      <c r="F36" s="4" t="s">
        <v>283</v>
      </c>
    </row>
    <row r="37" customFormat="false" ht="15" hidden="false" customHeight="true" outlineLevel="0" collapsed="false">
      <c r="A37" s="57" t="n">
        <v>36</v>
      </c>
      <c r="B37" s="58" t="n">
        <f aca="false">577.5-10.3*(36-A37)</f>
        <v>577.5</v>
      </c>
      <c r="C37" s="58" t="n">
        <v>269.8</v>
      </c>
      <c r="D37" s="58" t="n">
        <f aca="false">B37-C37</f>
        <v>307.7</v>
      </c>
      <c r="E37" s="59" t="n">
        <f aca="false">D37/2.3</f>
        <v>133.782608695652</v>
      </c>
      <c r="F37" s="60" t="s">
        <v>284</v>
      </c>
    </row>
    <row r="38" customFormat="false" ht="15" hidden="false" customHeight="true" outlineLevel="0" collapsed="false">
      <c r="A38" s="57" t="n">
        <v>33</v>
      </c>
      <c r="B38" s="58" t="n">
        <f aca="false">577.5-10.3*(36-A38)</f>
        <v>546.6</v>
      </c>
      <c r="C38" s="58" t="n">
        <v>269.8</v>
      </c>
      <c r="D38" s="58" t="n">
        <f aca="false">B38-C38</f>
        <v>276.8</v>
      </c>
      <c r="E38" s="59" t="n">
        <f aca="false">D38/2.3</f>
        <v>120.347826086957</v>
      </c>
      <c r="F38" s="60" t="s">
        <v>285</v>
      </c>
    </row>
    <row r="39" customFormat="false" ht="15" hidden="false" customHeight="true" outlineLevel="0" collapsed="false">
      <c r="A39" s="57" t="n">
        <v>25</v>
      </c>
      <c r="B39" s="58" t="n">
        <f aca="false">577.5-10.3*(36-A39)</f>
        <v>464.2</v>
      </c>
      <c r="C39" s="58" t="n">
        <v>269.8</v>
      </c>
      <c r="D39" s="58" t="n">
        <f aca="false">B39-C39</f>
        <v>194.4</v>
      </c>
      <c r="E39" s="59" t="n">
        <f aca="false">D39/2.3</f>
        <v>84.5217391304348</v>
      </c>
      <c r="F39" s="60" t="s">
        <v>286</v>
      </c>
    </row>
    <row r="40" customFormat="false" ht="15" hidden="false" customHeight="true" outlineLevel="0" collapsed="false">
      <c r="A40" s="57" t="n">
        <v>20</v>
      </c>
      <c r="B40" s="58" t="n">
        <f aca="false">577.5-10.3*(36-A40)</f>
        <v>412.7</v>
      </c>
      <c r="C40" s="58" t="n">
        <v>269.8</v>
      </c>
      <c r="D40" s="58" t="n">
        <f aca="false">B40-C40</f>
        <v>142.9</v>
      </c>
      <c r="E40" s="59" t="n">
        <f aca="false">D40/2.3</f>
        <v>62.1304347826087</v>
      </c>
      <c r="F40" s="60" t="s">
        <v>287</v>
      </c>
    </row>
    <row r="41" customFormat="false" ht="15" hidden="false" customHeight="true" outlineLevel="0" collapsed="false">
      <c r="A41" s="57" t="n">
        <v>15</v>
      </c>
      <c r="B41" s="58" t="n">
        <f aca="false">577.5-10.3*(36-A41)</f>
        <v>361.2</v>
      </c>
      <c r="C41" s="58" t="n">
        <v>269.8</v>
      </c>
      <c r="D41" s="58" t="n">
        <f aca="false">B41-C41</f>
        <v>91.4</v>
      </c>
      <c r="E41" s="59" t="n">
        <f aca="false">D41/2.3</f>
        <v>39.7391304347826</v>
      </c>
      <c r="F41" s="60" t="s">
        <v>288</v>
      </c>
    </row>
    <row r="44" customFormat="false" ht="15.75" hidden="false" customHeight="true" outlineLevel="0" collapsed="false">
      <c r="A44" s="30" t="s">
        <v>289</v>
      </c>
      <c r="B44" s="30"/>
      <c r="C44" s="30"/>
      <c r="D44" s="30"/>
      <c r="E44" s="30"/>
      <c r="F44" s="30"/>
    </row>
    <row r="45" customFormat="false" ht="21.75" hidden="false" customHeight="true" outlineLevel="0" collapsed="false">
      <c r="A45" s="4" t="s">
        <v>290</v>
      </c>
      <c r="B45" s="4" t="s">
        <v>291</v>
      </c>
      <c r="C45" s="4" t="s">
        <v>280</v>
      </c>
      <c r="D45" s="4" t="s">
        <v>292</v>
      </c>
      <c r="E45" s="4" t="s">
        <v>282</v>
      </c>
      <c r="F45" s="4" t="s">
        <v>283</v>
      </c>
    </row>
    <row r="46" customFormat="false" ht="15" hidden="false" customHeight="true" outlineLevel="0" collapsed="false">
      <c r="A46" s="61" t="n">
        <v>3.85</v>
      </c>
      <c r="B46" s="58" t="n">
        <f aca="false">577.5-(0.45*577.5*(1-A46/3.85))</f>
        <v>577.5</v>
      </c>
      <c r="C46" s="58" t="n">
        <v>269.8</v>
      </c>
      <c r="D46" s="58" t="n">
        <f aca="false">B46-C46</f>
        <v>307.7</v>
      </c>
      <c r="E46" s="59" t="n">
        <f aca="false">D46/2.3</f>
        <v>133.782608695652</v>
      </c>
      <c r="F46" s="60" t="s">
        <v>293</v>
      </c>
    </row>
    <row r="47" customFormat="false" ht="15" hidden="false" customHeight="true" outlineLevel="0" collapsed="false">
      <c r="A47" s="61" t="n">
        <v>2.24</v>
      </c>
      <c r="B47" s="58" t="n">
        <f aca="false">577.5-(0.45*577.5*(1-A47/3.85))</f>
        <v>468.825</v>
      </c>
      <c r="C47" s="58" t="n">
        <v>269.8</v>
      </c>
      <c r="D47" s="58" t="n">
        <f aca="false">B47-C47</f>
        <v>199.025</v>
      </c>
      <c r="E47" s="59" t="n">
        <f aca="false">D47/2.3</f>
        <v>86.5326086956522</v>
      </c>
      <c r="F47" s="60" t="s">
        <v>294</v>
      </c>
    </row>
    <row r="48" customFormat="false" ht="15" hidden="false" customHeight="true" outlineLevel="0" collapsed="false">
      <c r="A48" s="61" t="n">
        <v>2</v>
      </c>
      <c r="B48" s="58" t="n">
        <f aca="false">577.5-(0.45*577.5*(1-A48/3.85))</f>
        <v>452.625</v>
      </c>
      <c r="C48" s="58" t="n">
        <v>269.8</v>
      </c>
      <c r="D48" s="58" t="n">
        <f aca="false">B48-C48</f>
        <v>182.825</v>
      </c>
      <c r="E48" s="59" t="n">
        <f aca="false">D48/2.3</f>
        <v>79.4891304347826</v>
      </c>
      <c r="F48" s="60" t="s">
        <v>295</v>
      </c>
    </row>
    <row r="49" customFormat="false" ht="15" hidden="false" customHeight="true" outlineLevel="0" collapsed="false">
      <c r="A49" s="61" t="n">
        <v>1.88</v>
      </c>
      <c r="B49" s="58" t="n">
        <f aca="false">577.5-(0.45*577.5*(1-A49/3.85))</f>
        <v>444.525</v>
      </c>
      <c r="C49" s="58" t="n">
        <v>269.8</v>
      </c>
      <c r="D49" s="58" t="n">
        <f aca="false">B49-C49</f>
        <v>174.725</v>
      </c>
      <c r="E49" s="59" t="n">
        <f aca="false">D49/2.3</f>
        <v>75.9673913043478</v>
      </c>
      <c r="F49" s="60" t="s">
        <v>296</v>
      </c>
    </row>
    <row r="50" customFormat="false" ht="15" hidden="false" customHeight="true" outlineLevel="0" collapsed="false">
      <c r="A50" s="61" t="n">
        <v>1.45</v>
      </c>
      <c r="B50" s="58" t="n">
        <f aca="false">577.5-(0.45*577.5*(1-A50/3.85))</f>
        <v>415.5</v>
      </c>
      <c r="C50" s="58" t="n">
        <v>269.8</v>
      </c>
      <c r="D50" s="58" t="n">
        <f aca="false">B50-C50</f>
        <v>145.7</v>
      </c>
      <c r="E50" s="59" t="n">
        <f aca="false">D50/2.3</f>
        <v>63.3478260869565</v>
      </c>
      <c r="F50" s="60" t="s">
        <v>297</v>
      </c>
    </row>
  </sheetData>
  <mergeCells count="5">
    <mergeCell ref="A1:H1"/>
    <mergeCell ref="A3:H3"/>
    <mergeCell ref="A17:H17"/>
    <mergeCell ref="A35:F35"/>
    <mergeCell ref="A44:F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8"/>
  </cols>
  <sheetData>
    <row r="1" customFormat="false" ht="21.75" hidden="false" customHeight="true" outlineLevel="0" collapsed="false">
      <c r="A1" s="2" t="s">
        <v>298</v>
      </c>
      <c r="B1" s="2"/>
      <c r="C1" s="2"/>
      <c r="D1" s="2"/>
      <c r="E1" s="2"/>
      <c r="F1" s="2"/>
      <c r="G1" s="2"/>
    </row>
    <row r="3" customFormat="false" ht="15.75" hidden="false" customHeight="true" outlineLevel="0" collapsed="false">
      <c r="A3" s="30" t="s">
        <v>299</v>
      </c>
      <c r="B3" s="30"/>
      <c r="C3" s="30"/>
      <c r="D3" s="30"/>
      <c r="E3" s="30"/>
      <c r="F3" s="30"/>
      <c r="G3" s="30"/>
    </row>
    <row r="4" customFormat="false" ht="15" hidden="false" customHeight="true" outlineLevel="0" collapsed="false">
      <c r="A4" s="62" t="s">
        <v>300</v>
      </c>
      <c r="B4" s="63" t="n">
        <v>200000</v>
      </c>
      <c r="C4" s="46"/>
    </row>
    <row r="5" customFormat="false" ht="15" hidden="false" customHeight="true" outlineLevel="0" collapsed="false">
      <c r="A5" s="62" t="s">
        <v>301</v>
      </c>
      <c r="B5" s="64" t="n">
        <v>0.85</v>
      </c>
      <c r="C5" s="46" t="s">
        <v>302</v>
      </c>
    </row>
    <row r="6" customFormat="false" ht="15" hidden="false" customHeight="true" outlineLevel="0" collapsed="false">
      <c r="A6" s="62" t="s">
        <v>303</v>
      </c>
      <c r="B6" s="65" t="n">
        <f aca="false">B4*B5</f>
        <v>170000</v>
      </c>
      <c r="C6" s="46" t="s">
        <v>304</v>
      </c>
    </row>
    <row r="7" customFormat="false" ht="15" hidden="false" customHeight="true" outlineLevel="0" collapsed="false">
      <c r="A7" s="62" t="s">
        <v>305</v>
      </c>
      <c r="B7" s="63" t="n">
        <v>20</v>
      </c>
      <c r="C7" s="46"/>
    </row>
    <row r="8" customFormat="false" ht="15" hidden="false" customHeight="true" outlineLevel="0" collapsed="false">
      <c r="A8" s="62" t="s">
        <v>306</v>
      </c>
      <c r="B8" s="64" t="n">
        <v>0.25</v>
      </c>
      <c r="C8" s="46" t="s">
        <v>307</v>
      </c>
    </row>
    <row r="9" customFormat="false" ht="15" hidden="false" customHeight="true" outlineLevel="0" collapsed="false">
      <c r="A9" s="62" t="s">
        <v>308</v>
      </c>
      <c r="B9" s="64" t="n">
        <v>0.08</v>
      </c>
      <c r="C9" s="46" t="s">
        <v>309</v>
      </c>
    </row>
    <row r="10" customFormat="false" ht="15" hidden="false" customHeight="true" outlineLevel="0" collapsed="false">
      <c r="A10" s="62" t="s">
        <v>310</v>
      </c>
      <c r="B10" s="64" t="n">
        <v>0.1</v>
      </c>
      <c r="C10" s="46" t="s">
        <v>311</v>
      </c>
    </row>
    <row r="11" customFormat="false" ht="15" hidden="false" customHeight="true" outlineLevel="0" collapsed="false">
      <c r="A11" s="62" t="s">
        <v>312</v>
      </c>
      <c r="B11" s="66" t="n">
        <f aca="false">(1-(1.08)^-20)/0.08</f>
        <v>9.81814740744929</v>
      </c>
      <c r="C11" s="46" t="n">
        <f aca="false">9.818</f>
        <v>9.818</v>
      </c>
    </row>
    <row r="12" customFormat="false" ht="15" hidden="false" customHeight="true" outlineLevel="0" collapsed="false">
      <c r="A12" s="62" t="s">
        <v>313</v>
      </c>
      <c r="B12" s="66" t="n">
        <f aca="false">(1-(1.1)^-20)/0.1</f>
        <v>8.51356371975857</v>
      </c>
      <c r="C12" s="46" t="n">
        <f aca="false">8.514</f>
        <v>8.514</v>
      </c>
    </row>
    <row r="15" customFormat="false" ht="15.75" hidden="false" customHeight="true" outlineLevel="0" collapsed="false">
      <c r="A15" s="30" t="s">
        <v>314</v>
      </c>
      <c r="B15" s="30"/>
      <c r="C15" s="30"/>
      <c r="D15" s="30"/>
      <c r="E15" s="30"/>
      <c r="F15" s="30"/>
      <c r="G15" s="30"/>
    </row>
    <row r="16" customFormat="false" ht="15" hidden="false" customHeight="true" outlineLevel="0" collapsed="false">
      <c r="A16" s="4" t="s">
        <v>315</v>
      </c>
      <c r="B16" s="4" t="s">
        <v>316</v>
      </c>
      <c r="C16" s="4" t="s">
        <v>317</v>
      </c>
      <c r="D16" s="4" t="s">
        <v>318</v>
      </c>
      <c r="E16" s="4" t="s">
        <v>319</v>
      </c>
      <c r="F16" s="4" t="s">
        <v>320</v>
      </c>
    </row>
    <row r="17" customFormat="false" ht="15" hidden="false" customHeight="true" outlineLevel="0" collapsed="false">
      <c r="A17" s="51" t="s">
        <v>4</v>
      </c>
      <c r="B17" s="67" t="s">
        <v>321</v>
      </c>
      <c r="C17" s="67" t="s">
        <v>321</v>
      </c>
      <c r="D17" s="67" t="s">
        <v>65</v>
      </c>
      <c r="E17" s="67" t="s">
        <v>65</v>
      </c>
      <c r="F17" s="67" t="s">
        <v>65</v>
      </c>
    </row>
    <row r="18" customFormat="false" ht="15" hidden="false" customHeight="true" outlineLevel="0" collapsed="false">
      <c r="A18" s="51" t="s">
        <v>11</v>
      </c>
      <c r="B18" s="68" t="n">
        <v>40</v>
      </c>
      <c r="C18" s="68" t="n">
        <v>40</v>
      </c>
      <c r="D18" s="68" t="n">
        <v>250</v>
      </c>
      <c r="E18" s="68" t="n">
        <v>250</v>
      </c>
      <c r="F18" s="68" t="n">
        <v>150</v>
      </c>
    </row>
    <row r="19" customFormat="false" ht="15" hidden="false" customHeight="true" outlineLevel="0" collapsed="false">
      <c r="A19" s="51" t="s">
        <v>322</v>
      </c>
      <c r="B19" s="68" t="n">
        <v>200</v>
      </c>
      <c r="C19" s="68" t="n">
        <v>200</v>
      </c>
      <c r="D19" s="68" t="n">
        <v>1250</v>
      </c>
      <c r="E19" s="68" t="n">
        <v>1250</v>
      </c>
      <c r="F19" s="68" t="n">
        <v>750</v>
      </c>
    </row>
    <row r="20" customFormat="false" ht="15" hidden="false" customHeight="true" outlineLevel="0" collapsed="false">
      <c r="A20" s="51" t="s">
        <v>323</v>
      </c>
      <c r="B20" s="69" t="n">
        <v>270</v>
      </c>
      <c r="C20" s="69" t="n">
        <v>270</v>
      </c>
      <c r="D20" s="69" t="n">
        <v>577</v>
      </c>
      <c r="E20" s="69" t="n">
        <v>577</v>
      </c>
      <c r="F20" s="69" t="n">
        <v>450</v>
      </c>
    </row>
    <row r="21" customFormat="false" ht="15" hidden="false" customHeight="true" outlineLevel="0" collapsed="false">
      <c r="A21" s="51" t="s">
        <v>324</v>
      </c>
      <c r="B21" s="69" t="n">
        <v>32</v>
      </c>
      <c r="C21" s="69" t="n">
        <v>184</v>
      </c>
      <c r="D21" s="69" t="n">
        <v>0</v>
      </c>
      <c r="E21" s="69" t="n">
        <v>0</v>
      </c>
      <c r="F21" s="69" t="n">
        <v>0</v>
      </c>
    </row>
    <row r="22" customFormat="false" ht="15" hidden="false" customHeight="true" outlineLevel="0" collapsed="false">
      <c r="A22" s="51" t="s">
        <v>325</v>
      </c>
      <c r="B22" s="69" t="n">
        <v>340</v>
      </c>
      <c r="C22" s="69" t="n">
        <v>340</v>
      </c>
      <c r="D22" s="69" t="n">
        <v>340</v>
      </c>
      <c r="E22" s="69" t="n">
        <v>700</v>
      </c>
      <c r="F22" s="69" t="n">
        <v>580</v>
      </c>
    </row>
    <row r="23" customFormat="false" ht="15" hidden="false" customHeight="true" outlineLevel="0" collapsed="false">
      <c r="A23" s="51" t="s">
        <v>326</v>
      </c>
      <c r="B23" s="70" t="n">
        <f aca="false">C22-C20-C21</f>
        <v>-114</v>
      </c>
      <c r="C23" s="70" t="n">
        <f aca="false">D22-D20-D21</f>
        <v>-237</v>
      </c>
      <c r="D23" s="70" t="n">
        <f aca="false">E22-E20-E21</f>
        <v>123</v>
      </c>
      <c r="E23" s="70" t="n">
        <f aca="false">F22-F20-F21</f>
        <v>130</v>
      </c>
      <c r="F23" s="70" t="n">
        <f aca="false">G22-G20-G21</f>
        <v>0</v>
      </c>
    </row>
    <row r="24" customFormat="false" ht="15" hidden="false" customHeight="true" outlineLevel="0" collapsed="false">
      <c r="A24" s="51" t="s">
        <v>327</v>
      </c>
      <c r="B24" s="70" t="n">
        <f aca="false">C23*170000/1000000</f>
        <v>-40.29</v>
      </c>
      <c r="C24" s="70" t="n">
        <f aca="false">D23*170000/1000000</f>
        <v>20.91</v>
      </c>
      <c r="D24" s="70" t="n">
        <f aca="false">E23*170000/1000000</f>
        <v>22.1</v>
      </c>
      <c r="E24" s="70" t="n">
        <f aca="false">F23*170000/1000000</f>
        <v>0</v>
      </c>
      <c r="F24" s="70" t="n">
        <f aca="false">G23*170000/1000000</f>
        <v>0</v>
      </c>
    </row>
    <row r="25" customFormat="false" ht="15" hidden="false" customHeight="true" outlineLevel="0" collapsed="false">
      <c r="A25" s="51" t="s">
        <v>328</v>
      </c>
      <c r="B25" s="70" t="n">
        <f aca="false">C18/20</f>
        <v>2</v>
      </c>
      <c r="C25" s="70" t="n">
        <f aca="false">D18/20</f>
        <v>12.5</v>
      </c>
      <c r="D25" s="70" t="n">
        <f aca="false">E18/20</f>
        <v>12.5</v>
      </c>
      <c r="E25" s="70" t="n">
        <f aca="false">F18/20</f>
        <v>7.5</v>
      </c>
      <c r="F25" s="70" t="n">
        <f aca="false">G18/20</f>
        <v>0</v>
      </c>
    </row>
    <row r="26" customFormat="false" ht="15" hidden="false" customHeight="true" outlineLevel="0" collapsed="false">
      <c r="A26" s="51" t="s">
        <v>329</v>
      </c>
      <c r="B26" s="70" t="n">
        <f aca="false">IF(C24&gt;=0,(C24-C25)*0.75+C25,C24)</f>
        <v>18.8075</v>
      </c>
      <c r="C26" s="70" t="n">
        <f aca="false">IF(D24&gt;=0,(D24-D25)*0.75+D25,D24)</f>
        <v>19.7</v>
      </c>
      <c r="D26" s="70" t="n">
        <f aca="false">IF(E24&gt;=0,(E24-E25)*0.75+E25,E24)</f>
        <v>1.875</v>
      </c>
      <c r="E26" s="70" t="n">
        <f aca="false">IF(F24&gt;=0,(F24-F25)*0.75+F25,F24)</f>
        <v>0</v>
      </c>
      <c r="F26" s="70" t="n">
        <f aca="false">IF(G24&gt;=0,(G24-G25)*0.75+G25,G24)</f>
        <v>0</v>
      </c>
    </row>
    <row r="27" customFormat="false" ht="15" hidden="false" customHeight="true" outlineLevel="0" collapsed="false">
      <c r="A27" s="51" t="s">
        <v>330</v>
      </c>
      <c r="B27" s="71" t="n">
        <f aca="false">B10</f>
        <v>0.1</v>
      </c>
      <c r="C27" s="71" t="n">
        <f aca="false">B10</f>
        <v>0.1</v>
      </c>
      <c r="D27" s="71" t="n">
        <f aca="false">B11</f>
        <v>9.81814740744929</v>
      </c>
      <c r="E27" s="71" t="n">
        <f aca="false">B11</f>
        <v>9.81814740744929</v>
      </c>
      <c r="F27" s="71" t="n">
        <f aca="false">B11</f>
        <v>9.81814740744929</v>
      </c>
    </row>
    <row r="28" customFormat="false" ht="15" hidden="false" customHeight="true" outlineLevel="0" collapsed="false">
      <c r="A28" s="51" t="s">
        <v>331</v>
      </c>
      <c r="B28" s="67" t="n">
        <f aca="false">IF(C27=0.08,B12,B13)</f>
        <v>0</v>
      </c>
      <c r="C28" s="67" t="n">
        <f aca="false">IF(D27=0.08,B12,B13)</f>
        <v>0</v>
      </c>
      <c r="D28" s="67" t="n">
        <f aca="false">IF(E27=0.08,B12,B13)</f>
        <v>0</v>
      </c>
      <c r="E28" s="67" t="n">
        <f aca="false">IF(F27=0.08,B12,B13)</f>
        <v>0</v>
      </c>
      <c r="F28" s="67" t="n">
        <f aca="false">IF(G27=0.08,B12,B13)</f>
        <v>0</v>
      </c>
    </row>
    <row r="29" customFormat="false" ht="15" hidden="false" customHeight="true" outlineLevel="0" collapsed="false">
      <c r="A29" s="51" t="s">
        <v>332</v>
      </c>
      <c r="B29" s="72" t="n">
        <f aca="false">C26*C28-C18</f>
        <v>-40</v>
      </c>
      <c r="C29" s="73" t="n">
        <f aca="false">D26*D28-D18</f>
        <v>-250</v>
      </c>
      <c r="D29" s="73" t="n">
        <f aca="false">E26*E28-E18</f>
        <v>-250</v>
      </c>
      <c r="E29" s="73" t="n">
        <f aca="false">F26*F28-F18</f>
        <v>-150</v>
      </c>
      <c r="F29" s="73" t="n">
        <f aca="false">G26*G28-G18</f>
        <v>0</v>
      </c>
    </row>
    <row r="30" customFormat="false" ht="15" hidden="false" customHeight="true" outlineLevel="0" collapsed="false">
      <c r="A30" s="51" t="s">
        <v>333</v>
      </c>
      <c r="B30" s="70" t="s">
        <v>334</v>
      </c>
      <c r="C30" s="70" t="s">
        <v>335</v>
      </c>
      <c r="D30" s="70" t="s">
        <v>335</v>
      </c>
      <c r="E30" s="70" t="s">
        <v>336</v>
      </c>
      <c r="F30" s="70" t="s">
        <v>337</v>
      </c>
    </row>
    <row r="31" customFormat="false" ht="15" hidden="false" customHeight="true" outlineLevel="0" collapsed="false">
      <c r="A31" s="51" t="s">
        <v>338</v>
      </c>
      <c r="B31" s="67" t="n">
        <f aca="false">IF(C26&gt;0,C18/C26,"&gt;20")</f>
        <v>2.03045685279188</v>
      </c>
      <c r="C31" s="67" t="s">
        <v>335</v>
      </c>
      <c r="D31" s="67" t="s">
        <v>335</v>
      </c>
      <c r="E31" s="67" t="s">
        <v>339</v>
      </c>
      <c r="F31" s="67" t="str">
        <f aca="false">IF(G26&gt;0,G18/G26,"&gt;20")</f>
        <v>&gt;20</v>
      </c>
    </row>
    <row r="33" customFormat="false" ht="15.75" hidden="false" customHeight="true" outlineLevel="0" collapsed="false">
      <c r="A33" s="30" t="s">
        <v>340</v>
      </c>
      <c r="B33" s="30"/>
      <c r="C33" s="30"/>
      <c r="D33" s="30"/>
      <c r="E33" s="30"/>
      <c r="F33" s="30"/>
      <c r="G33" s="30"/>
    </row>
    <row r="34" customFormat="false" ht="15" hidden="false" customHeight="true" outlineLevel="0" collapsed="false">
      <c r="A34" s="74" t="s">
        <v>341</v>
      </c>
      <c r="B34" s="74"/>
      <c r="C34" s="74"/>
      <c r="D34" s="74"/>
      <c r="E34" s="74"/>
      <c r="F34" s="74"/>
      <c r="G34" s="74"/>
    </row>
    <row r="35" customFormat="false" ht="15" hidden="false" customHeight="true" outlineLevel="0" collapsed="false">
      <c r="A35" s="74" t="s">
        <v>342</v>
      </c>
      <c r="B35" s="74"/>
      <c r="C35" s="74"/>
      <c r="D35" s="74"/>
      <c r="E35" s="74"/>
      <c r="F35" s="74"/>
      <c r="G35" s="74"/>
    </row>
    <row r="36" customFormat="false" ht="15" hidden="false" customHeight="true" outlineLevel="0" collapsed="false">
      <c r="A36" s="74" t="s">
        <v>343</v>
      </c>
      <c r="B36" s="74"/>
      <c r="C36" s="74"/>
      <c r="D36" s="74"/>
      <c r="E36" s="74"/>
      <c r="F36" s="74"/>
      <c r="G36" s="74"/>
    </row>
    <row r="37" customFormat="false" ht="15" hidden="false" customHeight="true" outlineLevel="0" collapsed="false">
      <c r="A37" s="74"/>
      <c r="B37" s="74"/>
      <c r="C37" s="74"/>
      <c r="D37" s="74"/>
      <c r="E37" s="74"/>
      <c r="F37" s="74"/>
      <c r="G37" s="74"/>
    </row>
    <row r="38" customFormat="false" ht="15" hidden="false" customHeight="true" outlineLevel="0" collapsed="false">
      <c r="A38" s="75" t="s">
        <v>344</v>
      </c>
      <c r="B38" s="75"/>
      <c r="C38" s="75"/>
      <c r="D38" s="75"/>
      <c r="E38" s="75"/>
      <c r="F38" s="75"/>
      <c r="G38" s="75"/>
    </row>
    <row r="39" customFormat="false" ht="15" hidden="false" customHeight="true" outlineLevel="0" collapsed="false">
      <c r="A39" s="74" t="s">
        <v>345</v>
      </c>
      <c r="B39" s="74"/>
      <c r="C39" s="74"/>
      <c r="D39" s="74"/>
      <c r="E39" s="74"/>
      <c r="F39" s="74"/>
      <c r="G39" s="74"/>
    </row>
    <row r="40" customFormat="false" ht="15" hidden="false" customHeight="true" outlineLevel="0" collapsed="false">
      <c r="A40" s="74" t="s">
        <v>346</v>
      </c>
      <c r="B40" s="74"/>
      <c r="C40" s="74"/>
      <c r="D40" s="74"/>
      <c r="E40" s="74"/>
      <c r="F40" s="74"/>
      <c r="G40" s="74"/>
    </row>
    <row r="41" customFormat="false" ht="15" hidden="false" customHeight="true" outlineLevel="0" collapsed="false">
      <c r="A41" s="74"/>
      <c r="B41" s="74"/>
      <c r="C41" s="74"/>
      <c r="D41" s="74"/>
      <c r="E41" s="74"/>
      <c r="F41" s="74"/>
      <c r="G41" s="74"/>
    </row>
    <row r="42" customFormat="false" ht="15" hidden="false" customHeight="true" outlineLevel="0" collapsed="false">
      <c r="A42" s="75" t="s">
        <v>347</v>
      </c>
      <c r="B42" s="75"/>
      <c r="C42" s="75"/>
      <c r="D42" s="75"/>
      <c r="E42" s="75"/>
      <c r="F42" s="75"/>
      <c r="G42" s="75"/>
    </row>
    <row r="43" customFormat="false" ht="15" hidden="false" customHeight="true" outlineLevel="0" collapsed="false">
      <c r="A43" s="74" t="s">
        <v>348</v>
      </c>
      <c r="B43" s="74"/>
      <c r="C43" s="74"/>
      <c r="D43" s="74"/>
      <c r="E43" s="74"/>
      <c r="F43" s="74"/>
      <c r="G43" s="74"/>
    </row>
    <row r="44" customFormat="false" ht="15" hidden="false" customHeight="true" outlineLevel="0" collapsed="false">
      <c r="A44" s="74"/>
      <c r="B44" s="74"/>
      <c r="C44" s="74"/>
      <c r="D44" s="74"/>
      <c r="E44" s="74"/>
      <c r="F44" s="74"/>
      <c r="G44" s="74"/>
    </row>
    <row r="45" customFormat="false" ht="15" hidden="false" customHeight="true" outlineLevel="0" collapsed="false">
      <c r="A45" s="75" t="s">
        <v>349</v>
      </c>
      <c r="B45" s="75"/>
      <c r="C45" s="75"/>
      <c r="D45" s="75"/>
      <c r="E45" s="75"/>
      <c r="F45" s="75"/>
      <c r="G45" s="75"/>
    </row>
    <row r="46" customFormat="false" ht="15" hidden="false" customHeight="true" outlineLevel="0" collapsed="false">
      <c r="A46" s="74" t="s">
        <v>350</v>
      </c>
      <c r="B46" s="74"/>
      <c r="C46" s="74"/>
      <c r="D46" s="74"/>
      <c r="E46" s="74"/>
      <c r="F46" s="74"/>
      <c r="G46" s="74"/>
    </row>
    <row r="47" customFormat="false" ht="15" hidden="false" customHeight="true" outlineLevel="0" collapsed="false">
      <c r="A47" s="76" t="s">
        <v>351</v>
      </c>
      <c r="B47" s="76"/>
      <c r="C47" s="76"/>
      <c r="D47" s="76"/>
      <c r="E47" s="76"/>
      <c r="F47" s="76"/>
      <c r="G47" s="76"/>
    </row>
    <row r="48" customFormat="false" ht="15" hidden="false" customHeight="true" outlineLevel="0" collapsed="false">
      <c r="A48" s="74"/>
      <c r="B48" s="74"/>
      <c r="C48" s="74"/>
      <c r="D48" s="74"/>
      <c r="E48" s="74"/>
      <c r="F48" s="74"/>
      <c r="G48" s="74"/>
    </row>
    <row r="49" customFormat="false" ht="15" hidden="false" customHeight="true" outlineLevel="0" collapsed="false">
      <c r="A49" s="75" t="s">
        <v>352</v>
      </c>
      <c r="B49" s="75"/>
      <c r="C49" s="75"/>
      <c r="D49" s="75"/>
      <c r="E49" s="75"/>
      <c r="F49" s="75"/>
      <c r="G49" s="75"/>
    </row>
    <row r="50" customFormat="false" ht="15" hidden="false" customHeight="true" outlineLevel="0" collapsed="false">
      <c r="A50" s="74" t="s">
        <v>353</v>
      </c>
      <c r="B50" s="74"/>
      <c r="C50" s="74"/>
      <c r="D50" s="74"/>
      <c r="E50" s="74"/>
      <c r="F50" s="74"/>
      <c r="G50" s="74"/>
    </row>
    <row r="51" customFormat="false" ht="15" hidden="false" customHeight="true" outlineLevel="0" collapsed="false">
      <c r="A51" s="74" t="s">
        <v>354</v>
      </c>
      <c r="B51" s="74"/>
      <c r="C51" s="74"/>
      <c r="D51" s="74"/>
      <c r="E51" s="74"/>
      <c r="F51" s="74"/>
      <c r="G51" s="74"/>
    </row>
    <row r="52" customFormat="false" ht="15" hidden="false" customHeight="true" outlineLevel="0" collapsed="false">
      <c r="A52" s="74"/>
      <c r="B52" s="74"/>
      <c r="C52" s="74"/>
      <c r="D52" s="74"/>
      <c r="E52" s="74"/>
      <c r="F52" s="74"/>
      <c r="G52" s="74"/>
    </row>
    <row r="53" customFormat="false" ht="15" hidden="false" customHeight="true" outlineLevel="0" collapsed="false">
      <c r="A53" s="75" t="s">
        <v>355</v>
      </c>
      <c r="B53" s="75"/>
      <c r="C53" s="75"/>
      <c r="D53" s="75"/>
      <c r="E53" s="75"/>
      <c r="F53" s="75"/>
      <c r="G53" s="75"/>
    </row>
    <row r="54" customFormat="false" ht="15" hidden="false" customHeight="true" outlineLevel="0" collapsed="false">
      <c r="A54" s="74" t="s">
        <v>356</v>
      </c>
      <c r="B54" s="74"/>
      <c r="C54" s="74"/>
      <c r="D54" s="74"/>
      <c r="E54" s="74"/>
      <c r="F54" s="74"/>
      <c r="G54" s="74"/>
    </row>
    <row r="55" customFormat="false" ht="15" hidden="false" customHeight="true" outlineLevel="0" collapsed="false">
      <c r="A55" s="74" t="s">
        <v>357</v>
      </c>
      <c r="B55" s="74"/>
      <c r="C55" s="74"/>
      <c r="D55" s="74"/>
      <c r="E55" s="74"/>
      <c r="F55" s="74"/>
      <c r="G55" s="74"/>
    </row>
    <row r="56" customFormat="false" ht="15" hidden="false" customHeight="true" outlineLevel="0" collapsed="false">
      <c r="A56" s="74"/>
      <c r="B56" s="74"/>
      <c r="C56" s="74"/>
      <c r="D56" s="74"/>
      <c r="E56" s="74"/>
      <c r="F56" s="74"/>
      <c r="G56" s="74"/>
    </row>
    <row r="57" customFormat="false" ht="15" hidden="false" customHeight="true" outlineLevel="0" collapsed="false">
      <c r="A57" s="76" t="s">
        <v>358</v>
      </c>
      <c r="B57" s="76"/>
      <c r="C57" s="76"/>
      <c r="D57" s="76"/>
      <c r="E57" s="76"/>
      <c r="F57" s="76"/>
      <c r="G57" s="76"/>
    </row>
    <row r="58" customFormat="false" ht="15" hidden="false" customHeight="true" outlineLevel="0" collapsed="false">
      <c r="A58" s="74" t="s">
        <v>359</v>
      </c>
      <c r="B58" s="74"/>
      <c r="C58" s="74"/>
      <c r="D58" s="74"/>
      <c r="E58" s="74"/>
      <c r="F58" s="74"/>
      <c r="G58" s="74"/>
    </row>
  </sheetData>
  <mergeCells count="29">
    <mergeCell ref="A1:G1"/>
    <mergeCell ref="A3:G3"/>
    <mergeCell ref="A15:G15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3:G53"/>
    <mergeCell ref="A54:G54"/>
    <mergeCell ref="A55:G55"/>
    <mergeCell ref="A56:G56"/>
    <mergeCell ref="A57:G57"/>
    <mergeCell ref="A58:G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5" min="2" style="1" width="14"/>
    <col collapsed="false" customWidth="true" hidden="false" outlineLevel="0" max="7" min="6" style="1" width="12"/>
    <col collapsed="false" customWidth="true" hidden="false" outlineLevel="0" max="8" min="8" style="1" width="50"/>
  </cols>
  <sheetData>
    <row r="1" customFormat="false" ht="21.75" hidden="false" customHeight="true" outlineLevel="0" collapsed="false">
      <c r="A1" s="2" t="s">
        <v>360</v>
      </c>
      <c r="B1" s="2"/>
      <c r="C1" s="2"/>
      <c r="D1" s="2"/>
      <c r="E1" s="2"/>
      <c r="F1" s="2"/>
      <c r="G1" s="2"/>
      <c r="H1" s="2"/>
    </row>
    <row r="3" customFormat="false" ht="15.75" hidden="false" customHeight="true" outlineLevel="0" collapsed="false">
      <c r="A3" s="30" t="s">
        <v>361</v>
      </c>
      <c r="B3" s="30"/>
      <c r="C3" s="30"/>
      <c r="D3" s="30"/>
      <c r="E3" s="30"/>
      <c r="F3" s="30"/>
      <c r="G3" s="30"/>
      <c r="H3" s="30"/>
    </row>
    <row r="4" customFormat="false" ht="15.75" hidden="false" customHeight="true" outlineLevel="0" collapsed="false">
      <c r="A4" s="77" t="s">
        <v>362</v>
      </c>
      <c r="B4" s="77"/>
      <c r="C4" s="77"/>
      <c r="D4" s="77"/>
      <c r="E4" s="77"/>
      <c r="F4" s="77"/>
      <c r="G4" s="77"/>
      <c r="H4" s="77"/>
    </row>
    <row r="5" customFormat="false" ht="21.75" hidden="false" customHeight="true" outlineLevel="0" collapsed="false">
      <c r="A5" s="4" t="s">
        <v>7</v>
      </c>
      <c r="B5" s="4" t="s">
        <v>363</v>
      </c>
      <c r="C5" s="4" t="s">
        <v>364</v>
      </c>
      <c r="D5" s="4" t="s">
        <v>365</v>
      </c>
      <c r="E5" s="4" t="s">
        <v>366</v>
      </c>
      <c r="F5" s="4" t="s">
        <v>367</v>
      </c>
      <c r="G5" s="4" t="s">
        <v>368</v>
      </c>
    </row>
    <row r="6" customFormat="false" ht="15" hidden="false" customHeight="true" outlineLevel="0" collapsed="false">
      <c r="A6" s="78" t="n">
        <v>2020</v>
      </c>
      <c r="B6" s="79" t="n">
        <v>246.7</v>
      </c>
      <c r="C6" s="79" t="n">
        <v>32.2</v>
      </c>
      <c r="D6" s="79" t="n">
        <f aca="false">C6-B6</f>
        <v>-214.5</v>
      </c>
      <c r="E6" s="79"/>
      <c r="F6" s="80" t="s">
        <v>369</v>
      </c>
      <c r="G6" s="81" t="s">
        <v>370</v>
      </c>
    </row>
    <row r="7" customFormat="false" ht="15" hidden="false" customHeight="true" outlineLevel="0" collapsed="false">
      <c r="A7" s="78" t="n">
        <v>2021</v>
      </c>
      <c r="B7" s="79" t="n">
        <v>394.8</v>
      </c>
      <c r="C7" s="79" t="n">
        <v>99.1</v>
      </c>
      <c r="D7" s="79" t="n">
        <f aca="false">C7-B7</f>
        <v>-295.7</v>
      </c>
      <c r="E7" s="79"/>
      <c r="F7" s="80" t="s">
        <v>371</v>
      </c>
      <c r="G7" s="81" t="s">
        <v>372</v>
      </c>
    </row>
    <row r="8" customFormat="false" ht="15" hidden="false" customHeight="true" outlineLevel="0" collapsed="false">
      <c r="A8" s="78" t="n">
        <v>2022</v>
      </c>
      <c r="B8" s="79" t="n">
        <v>400.1</v>
      </c>
      <c r="C8" s="79" t="n">
        <v>86.5</v>
      </c>
      <c r="D8" s="79" t="n">
        <f aca="false">C8-B8</f>
        <v>-313.6</v>
      </c>
      <c r="E8" s="79"/>
      <c r="F8" s="80" t="s">
        <v>373</v>
      </c>
      <c r="G8" s="81" t="s">
        <v>374</v>
      </c>
    </row>
    <row r="9" customFormat="false" ht="15" hidden="false" customHeight="true" outlineLevel="0" collapsed="false">
      <c r="A9" s="78" t="n">
        <v>2023</v>
      </c>
      <c r="B9" s="79" t="n">
        <v>333.3</v>
      </c>
      <c r="C9" s="79" t="n">
        <v>55.7</v>
      </c>
      <c r="D9" s="79" t="n">
        <f aca="false">C9-B9</f>
        <v>-277.6</v>
      </c>
      <c r="E9" s="79" t="n">
        <v>174</v>
      </c>
      <c r="F9" s="80" t="s">
        <v>375</v>
      </c>
      <c r="G9" s="81" t="s">
        <v>376</v>
      </c>
    </row>
    <row r="10" customFormat="false" ht="15" hidden="false" customHeight="true" outlineLevel="0" collapsed="false">
      <c r="A10" s="78" t="n">
        <v>2024</v>
      </c>
      <c r="B10" s="79" t="n">
        <v>355.3</v>
      </c>
      <c r="C10" s="79" t="n">
        <v>73</v>
      </c>
      <c r="D10" s="79" t="n">
        <f aca="false">C10-B10</f>
        <v>-282.3</v>
      </c>
      <c r="E10" s="79" t="n">
        <v>174</v>
      </c>
      <c r="F10" s="80" t="s">
        <v>377</v>
      </c>
      <c r="G10" s="81" t="s">
        <v>378</v>
      </c>
    </row>
    <row r="12" customFormat="false" ht="15" hidden="false" customHeight="true" outlineLevel="0" collapsed="false">
      <c r="A12" s="51" t="s">
        <v>379</v>
      </c>
      <c r="B12" s="59" t="n">
        <v>722.2</v>
      </c>
      <c r="C12" s="46" t="s">
        <v>380</v>
      </c>
    </row>
    <row r="14" customFormat="false" ht="15.75" hidden="false" customHeight="true" outlineLevel="0" collapsed="false">
      <c r="A14" s="30" t="s">
        <v>381</v>
      </c>
      <c r="B14" s="30"/>
      <c r="C14" s="30"/>
      <c r="D14" s="30"/>
      <c r="E14" s="30"/>
      <c r="F14" s="30"/>
      <c r="G14" s="30"/>
      <c r="H14" s="30"/>
    </row>
    <row r="15" customFormat="false" ht="21.75" hidden="false" customHeight="true" outlineLevel="0" collapsed="false">
      <c r="A15" s="4" t="s">
        <v>7</v>
      </c>
      <c r="B15" s="4" t="s">
        <v>363</v>
      </c>
      <c r="C15" s="4" t="s">
        <v>364</v>
      </c>
      <c r="D15" s="4" t="s">
        <v>366</v>
      </c>
      <c r="E15" s="4" t="s">
        <v>368</v>
      </c>
    </row>
    <row r="16" customFormat="false" ht="15" hidden="false" customHeight="true" outlineLevel="0" collapsed="false">
      <c r="A16" s="42" t="n">
        <v>2023</v>
      </c>
      <c r="B16" s="82" t="n">
        <v>510.6</v>
      </c>
      <c r="C16" s="82" t="n">
        <v>51.9</v>
      </c>
      <c r="D16" s="82" t="n">
        <v>17.1</v>
      </c>
      <c r="E16" s="42" t="s">
        <v>382</v>
      </c>
    </row>
    <row r="18" customFormat="false" ht="15.75" hidden="false" customHeight="true" outlineLevel="0" collapsed="false">
      <c r="A18" s="30" t="s">
        <v>383</v>
      </c>
      <c r="B18" s="30"/>
      <c r="C18" s="30"/>
      <c r="D18" s="30"/>
      <c r="E18" s="30"/>
      <c r="F18" s="30"/>
      <c r="G18" s="30"/>
      <c r="H18" s="30"/>
    </row>
    <row r="19" customFormat="false" ht="21.75" hidden="false" customHeight="true" outlineLevel="0" collapsed="false">
      <c r="A19" s="4" t="s">
        <v>384</v>
      </c>
      <c r="B19" s="4" t="s">
        <v>12</v>
      </c>
      <c r="C19" s="4" t="s">
        <v>385</v>
      </c>
      <c r="D19" s="4" t="s">
        <v>386</v>
      </c>
      <c r="E19" s="4" t="s">
        <v>368</v>
      </c>
    </row>
    <row r="20" customFormat="false" ht="15" hidden="false" customHeight="true" outlineLevel="0" collapsed="false">
      <c r="A20" s="83" t="s">
        <v>387</v>
      </c>
      <c r="B20" s="83" t="n">
        <v>42000</v>
      </c>
      <c r="C20" s="84" t="n">
        <v>2047.6</v>
      </c>
    </row>
    <row r="21" customFormat="false" ht="15" hidden="false" customHeight="true" outlineLevel="0" collapsed="false">
      <c r="A21" s="83" t="s">
        <v>388</v>
      </c>
      <c r="B21" s="83" t="n">
        <v>42000</v>
      </c>
      <c r="C21" s="84" t="n">
        <v>3333.3</v>
      </c>
    </row>
    <row r="23" customFormat="false" ht="15.75" hidden="false" customHeight="true" outlineLevel="0" collapsed="false">
      <c r="A23" s="30" t="s">
        <v>389</v>
      </c>
      <c r="B23" s="30"/>
      <c r="C23" s="30"/>
      <c r="D23" s="30"/>
      <c r="E23" s="30"/>
      <c r="F23" s="30"/>
      <c r="G23" s="30"/>
      <c r="H23" s="30"/>
    </row>
    <row r="24" customFormat="false" ht="15" hidden="false" customHeight="true" outlineLevel="0" collapsed="false">
      <c r="A24" s="85" t="s">
        <v>390</v>
      </c>
      <c r="B24" s="85"/>
      <c r="C24" s="85"/>
      <c r="D24" s="85"/>
      <c r="E24" s="85"/>
      <c r="F24" s="85"/>
      <c r="G24" s="85"/>
      <c r="H24" s="85"/>
    </row>
  </sheetData>
  <mergeCells count="7">
    <mergeCell ref="A1:H1"/>
    <mergeCell ref="A3:H3"/>
    <mergeCell ref="A4:H4"/>
    <mergeCell ref="A14:H14"/>
    <mergeCell ref="A18:H18"/>
    <mergeCell ref="A23:H23"/>
    <mergeCell ref="A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55"/>
    <col collapsed="false" customWidth="true" hidden="false" outlineLevel="0" max="3" min="3" style="1" width="7"/>
    <col collapsed="false" customWidth="true" hidden="false" outlineLevel="0" max="4" min="4" style="1" width="45"/>
    <col collapsed="false" customWidth="true" hidden="false" outlineLevel="0" max="5" min="5" style="1" width="35"/>
  </cols>
  <sheetData>
    <row r="1" customFormat="false" ht="21.75" hidden="false" customHeight="true" outlineLevel="0" collapsed="false">
      <c r="A1" s="2" t="s">
        <v>391</v>
      </c>
      <c r="B1" s="2"/>
      <c r="C1" s="2"/>
      <c r="D1" s="2"/>
      <c r="E1" s="2"/>
    </row>
    <row r="2" customFormat="false" ht="15" hidden="false" customHeight="true" outlineLevel="0" collapsed="false">
      <c r="A2" s="4" t="s">
        <v>392</v>
      </c>
      <c r="B2" s="4" t="s">
        <v>393</v>
      </c>
      <c r="C2" s="4" t="s">
        <v>7</v>
      </c>
      <c r="D2" s="4" t="s">
        <v>394</v>
      </c>
      <c r="E2" s="4" t="s">
        <v>395</v>
      </c>
    </row>
    <row r="3" customFormat="false" ht="15" hidden="false" customHeight="true" outlineLevel="0" collapsed="false">
      <c r="A3" s="86" t="s">
        <v>396</v>
      </c>
      <c r="B3" s="86" t="s">
        <v>397</v>
      </c>
      <c r="C3" s="86" t="n">
        <v>2020</v>
      </c>
      <c r="D3" s="86" t="s">
        <v>79</v>
      </c>
      <c r="E3" s="86" t="s">
        <v>398</v>
      </c>
    </row>
    <row r="4" customFormat="false" ht="21.75" hidden="false" customHeight="true" outlineLevel="0" collapsed="false">
      <c r="A4" s="86" t="s">
        <v>396</v>
      </c>
      <c r="B4" s="86" t="s">
        <v>399</v>
      </c>
      <c r="C4" s="86" t="n">
        <v>2024</v>
      </c>
      <c r="D4" s="86" t="s">
        <v>400</v>
      </c>
      <c r="E4" s="86" t="s">
        <v>401</v>
      </c>
    </row>
    <row r="5" customFormat="false" ht="27.75" hidden="false" customHeight="true" outlineLevel="0" collapsed="false">
      <c r="A5" s="86" t="s">
        <v>396</v>
      </c>
      <c r="B5" s="86" t="s">
        <v>402</v>
      </c>
      <c r="C5" s="86" t="n">
        <v>2022</v>
      </c>
      <c r="D5" s="86" t="s">
        <v>403</v>
      </c>
      <c r="E5" s="86" t="s">
        <v>404</v>
      </c>
    </row>
    <row r="6" customFormat="false" ht="27.75" hidden="false" customHeight="true" outlineLevel="0" collapsed="false">
      <c r="A6" s="86" t="s">
        <v>396</v>
      </c>
      <c r="B6" s="86" t="s">
        <v>405</v>
      </c>
      <c r="C6" s="86" t="n">
        <v>2020</v>
      </c>
      <c r="D6" s="86" t="s">
        <v>23</v>
      </c>
      <c r="E6" s="86" t="s">
        <v>406</v>
      </c>
    </row>
    <row r="7" customFormat="false" ht="27.75" hidden="false" customHeight="true" outlineLevel="0" collapsed="false">
      <c r="A7" s="86" t="s">
        <v>396</v>
      </c>
      <c r="B7" s="86" t="s">
        <v>407</v>
      </c>
      <c r="C7" s="86" t="n">
        <v>2024</v>
      </c>
      <c r="D7" s="86" t="s">
        <v>408</v>
      </c>
      <c r="E7" s="86" t="s">
        <v>409</v>
      </c>
    </row>
    <row r="8" customFormat="false" ht="27.75" hidden="false" customHeight="true" outlineLevel="0" collapsed="false">
      <c r="A8" s="86" t="s">
        <v>396</v>
      </c>
      <c r="B8" s="86" t="s">
        <v>410</v>
      </c>
      <c r="C8" s="86" t="n">
        <v>2024</v>
      </c>
      <c r="D8" s="86" t="s">
        <v>411</v>
      </c>
      <c r="E8" s="86" t="s">
        <v>412</v>
      </c>
    </row>
    <row r="9" customFormat="false" ht="27.75" hidden="false" customHeight="true" outlineLevel="0" collapsed="false">
      <c r="A9" s="86" t="s">
        <v>396</v>
      </c>
      <c r="B9" s="86" t="s">
        <v>413</v>
      </c>
      <c r="C9" s="86" t="n">
        <v>2021</v>
      </c>
      <c r="D9" s="86" t="s">
        <v>86</v>
      </c>
      <c r="E9" s="86" t="s">
        <v>414</v>
      </c>
    </row>
    <row r="10" customFormat="false" ht="27.75" hidden="false" customHeight="true" outlineLevel="0" collapsed="false">
      <c r="A10" s="86" t="s">
        <v>396</v>
      </c>
      <c r="B10" s="86" t="s">
        <v>415</v>
      </c>
      <c r="C10" s="86" t="n">
        <v>2023</v>
      </c>
      <c r="D10" s="86" t="s">
        <v>416</v>
      </c>
      <c r="E10" s="86" t="s">
        <v>417</v>
      </c>
    </row>
    <row r="11" customFormat="false" ht="27.75" hidden="false" customHeight="true" outlineLevel="0" collapsed="false">
      <c r="A11" s="86" t="s">
        <v>396</v>
      </c>
      <c r="B11" s="86" t="s">
        <v>418</v>
      </c>
      <c r="C11" s="86" t="n">
        <v>2024</v>
      </c>
      <c r="D11" s="86" t="s">
        <v>29</v>
      </c>
      <c r="E11" s="86" t="s">
        <v>419</v>
      </c>
    </row>
    <row r="12" customFormat="false" ht="27.75" hidden="false" customHeight="true" outlineLevel="0" collapsed="false">
      <c r="A12" s="86" t="s">
        <v>396</v>
      </c>
      <c r="B12" s="86" t="s">
        <v>420</v>
      </c>
      <c r="C12" s="86" t="n">
        <v>2020</v>
      </c>
      <c r="D12" s="86" t="s">
        <v>421</v>
      </c>
      <c r="E12" s="86" t="s">
        <v>422</v>
      </c>
    </row>
    <row r="13" customFormat="false" ht="27.75" hidden="false" customHeight="true" outlineLevel="0" collapsed="false">
      <c r="A13" s="86" t="s">
        <v>396</v>
      </c>
      <c r="B13" s="86" t="s">
        <v>423</v>
      </c>
      <c r="C13" s="86" t="n">
        <v>2017</v>
      </c>
      <c r="D13" s="86" t="s">
        <v>424</v>
      </c>
      <c r="E13" s="86" t="s">
        <v>425</v>
      </c>
    </row>
    <row r="14" customFormat="false" ht="27.75" hidden="false" customHeight="true" outlineLevel="0" collapsed="false">
      <c r="A14" s="86" t="s">
        <v>396</v>
      </c>
      <c r="B14" s="86" t="s">
        <v>426</v>
      </c>
      <c r="C14" s="86" t="n">
        <v>2024</v>
      </c>
      <c r="D14" s="86" t="s">
        <v>427</v>
      </c>
      <c r="E14" s="86" t="s">
        <v>428</v>
      </c>
    </row>
    <row r="15" customFormat="false" ht="27.75" hidden="false" customHeight="true" outlineLevel="0" collapsed="false">
      <c r="A15" s="86" t="s">
        <v>396</v>
      </c>
      <c r="B15" s="86" t="s">
        <v>429</v>
      </c>
      <c r="C15" s="86" t="n">
        <v>2024</v>
      </c>
      <c r="D15" s="86" t="s">
        <v>430</v>
      </c>
      <c r="E15" s="86" t="s">
        <v>431</v>
      </c>
    </row>
    <row r="16" customFormat="false" ht="27.75" hidden="false" customHeight="true" outlineLevel="0" collapsed="false">
      <c r="A16" s="87" t="s">
        <v>432</v>
      </c>
      <c r="B16" s="87" t="s">
        <v>433</v>
      </c>
      <c r="C16" s="87" t="n">
        <v>2024</v>
      </c>
      <c r="D16" s="87" t="s">
        <v>434</v>
      </c>
      <c r="E16" s="87" t="s">
        <v>435</v>
      </c>
    </row>
    <row r="17" customFormat="false" ht="27.75" hidden="false" customHeight="true" outlineLevel="0" collapsed="false">
      <c r="A17" s="87" t="s">
        <v>432</v>
      </c>
      <c r="B17" s="87" t="s">
        <v>436</v>
      </c>
      <c r="C17" s="87" t="n">
        <v>2024</v>
      </c>
      <c r="D17" s="87" t="s">
        <v>437</v>
      </c>
      <c r="E17" s="87" t="s">
        <v>438</v>
      </c>
    </row>
    <row r="18" customFormat="false" ht="27.75" hidden="false" customHeight="true" outlineLevel="0" collapsed="false">
      <c r="A18" s="87" t="s">
        <v>432</v>
      </c>
      <c r="B18" s="87" t="s">
        <v>439</v>
      </c>
      <c r="C18" s="87" t="n">
        <v>2025</v>
      </c>
      <c r="D18" s="87" t="s">
        <v>440</v>
      </c>
      <c r="E18" s="87" t="s">
        <v>441</v>
      </c>
    </row>
    <row r="19" customFormat="false" ht="27.75" hidden="false" customHeight="true" outlineLevel="0" collapsed="false">
      <c r="A19" s="87" t="s">
        <v>432</v>
      </c>
      <c r="B19" s="87" t="s">
        <v>442</v>
      </c>
      <c r="C19" s="87" t="n">
        <v>2021</v>
      </c>
      <c r="D19" s="87" t="s">
        <v>443</v>
      </c>
      <c r="E19" s="87" t="s">
        <v>444</v>
      </c>
    </row>
    <row r="20" customFormat="false" ht="27.75" hidden="false" customHeight="true" outlineLevel="0" collapsed="false">
      <c r="A20" s="87" t="s">
        <v>432</v>
      </c>
      <c r="B20" s="87" t="s">
        <v>445</v>
      </c>
      <c r="C20" s="87" t="n">
        <v>2024</v>
      </c>
      <c r="D20" s="87" t="s">
        <v>446</v>
      </c>
      <c r="E20" s="87" t="s">
        <v>447</v>
      </c>
    </row>
    <row r="21" customFormat="false" ht="27.75" hidden="false" customHeight="true" outlineLevel="0" collapsed="false">
      <c r="A21" s="87" t="s">
        <v>432</v>
      </c>
      <c r="B21" s="87" t="s">
        <v>448</v>
      </c>
      <c r="C21" s="87" t="n">
        <v>2025</v>
      </c>
      <c r="D21" s="87" t="s">
        <v>449</v>
      </c>
      <c r="E21" s="87" t="s">
        <v>450</v>
      </c>
    </row>
    <row r="22" customFormat="false" ht="27.75" hidden="false" customHeight="true" outlineLevel="0" collapsed="false">
      <c r="A22" s="88" t="s">
        <v>451</v>
      </c>
      <c r="B22" s="88" t="s">
        <v>452</v>
      </c>
      <c r="C22" s="88" t="n">
        <v>2025</v>
      </c>
      <c r="D22" s="88" t="s">
        <v>453</v>
      </c>
      <c r="E22" s="88" t="s">
        <v>454</v>
      </c>
    </row>
    <row r="23" customFormat="false" ht="27.75" hidden="false" customHeight="true" outlineLevel="0" collapsed="false">
      <c r="A23" s="88" t="s">
        <v>451</v>
      </c>
      <c r="B23" s="88" t="s">
        <v>455</v>
      </c>
      <c r="C23" s="88" t="n">
        <v>2024</v>
      </c>
      <c r="D23" s="88" t="s">
        <v>456</v>
      </c>
      <c r="E23" s="88" t="s">
        <v>457</v>
      </c>
    </row>
    <row r="24" customFormat="false" ht="27.75" hidden="false" customHeight="true" outlineLevel="0" collapsed="false">
      <c r="A24" s="88" t="s">
        <v>451</v>
      </c>
      <c r="B24" s="88" t="s">
        <v>458</v>
      </c>
      <c r="C24" s="88" t="n">
        <v>2025</v>
      </c>
      <c r="D24" s="88" t="s">
        <v>459</v>
      </c>
      <c r="E24" s="88" t="s">
        <v>460</v>
      </c>
    </row>
    <row r="25" customFormat="false" ht="27.75" hidden="false" customHeight="true" outlineLevel="0" collapsed="false">
      <c r="A25" s="88" t="s">
        <v>451</v>
      </c>
      <c r="B25" s="88" t="s">
        <v>461</v>
      </c>
      <c r="C25" s="88" t="n">
        <v>2025</v>
      </c>
      <c r="D25" s="88" t="s">
        <v>462</v>
      </c>
      <c r="E25" s="88" t="s">
        <v>463</v>
      </c>
    </row>
    <row r="26" customFormat="false" ht="27.75" hidden="false" customHeight="true" outlineLevel="0" collapsed="false">
      <c r="A26" s="88" t="s">
        <v>451</v>
      </c>
      <c r="B26" s="88" t="s">
        <v>464</v>
      </c>
      <c r="C26" s="88" t="n">
        <v>2025</v>
      </c>
      <c r="D26" s="88" t="s">
        <v>465</v>
      </c>
      <c r="E26" s="88" t="s">
        <v>463</v>
      </c>
    </row>
    <row r="27" customFormat="false" ht="27.75" hidden="false" customHeight="true" outlineLevel="0" collapsed="false">
      <c r="A27" s="89" t="s">
        <v>466</v>
      </c>
      <c r="B27" s="89" t="s">
        <v>467</v>
      </c>
      <c r="C27" s="89" t="n">
        <v>2023</v>
      </c>
      <c r="D27" s="89" t="s">
        <v>468</v>
      </c>
      <c r="E27" s="89" t="s">
        <v>469</v>
      </c>
    </row>
    <row r="28" customFormat="false" ht="27.75" hidden="false" customHeight="true" outlineLevel="0" collapsed="false">
      <c r="A28" s="89" t="s">
        <v>466</v>
      </c>
      <c r="B28" s="89" t="s">
        <v>470</v>
      </c>
      <c r="C28" s="89" t="n">
        <v>2024</v>
      </c>
      <c r="D28" s="89" t="s">
        <v>471</v>
      </c>
      <c r="E28" s="89" t="s">
        <v>472</v>
      </c>
    </row>
    <row r="29" customFormat="false" ht="27.75" hidden="false" customHeight="true" outlineLevel="0" collapsed="false">
      <c r="A29" s="90" t="s">
        <v>473</v>
      </c>
      <c r="B29" s="90" t="s">
        <v>474</v>
      </c>
      <c r="C29" s="90" t="n">
        <v>2022</v>
      </c>
      <c r="D29" s="90" t="s">
        <v>475</v>
      </c>
      <c r="E29" s="90" t="s">
        <v>476</v>
      </c>
    </row>
    <row r="30" customFormat="false" ht="27.75" hidden="false" customHeight="true" outlineLevel="0" collapsed="false"/>
    <row r="31" customFormat="false" ht="27.7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2026-03-20T04:14:49Z</dcterms:created>
  <dc:creator>openpyxl</dc:creator>
  <dc:description/>
  <dc:language>en-US</dc:language>
  <cp:lastModifiedBy/>
  <dcterms:modified xsi:type="dcterms:W3CDTF">2026-03-20T04:15:43Z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